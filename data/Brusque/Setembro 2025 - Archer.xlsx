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CIDADANIA FINANCEIRA [2024-2026]/CESTA BÁSICA/COLETA DE DADOS/BRUSQUE 2025/Bruna Borges Menoncin/"/>
    </mc:Choice>
  </mc:AlternateContent>
  <xr:revisionPtr revIDLastSave="66" documentId="8_{8E2DB5BA-9E2B-419E-8186-B51AC54B8F56}" xr6:coauthVersionLast="47" xr6:coauthVersionMax="47" xr10:uidLastSave="{2A83BD6B-2E87-4A5F-8534-2609033ADA92}"/>
  <bookViews>
    <workbookView xWindow="-120" yWindow="-120" windowWidth="24240" windowHeight="13020" xr2:uid="{00000000-000D-0000-FFFF-FFFF00000000}"/>
  </bookViews>
  <sheets>
    <sheet name="Dados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I7" i="1"/>
  <c r="I11" i="1"/>
  <c r="I29" i="1"/>
  <c r="I25" i="1"/>
  <c r="I21" i="1"/>
  <c r="I17" i="1"/>
  <c r="I13" i="1"/>
  <c r="I9" i="1"/>
  <c r="I31" i="1"/>
  <c r="I27" i="1"/>
  <c r="I19" i="1"/>
  <c r="I15" i="1"/>
</calcChain>
</file>

<file path=xl/sharedStrings.xml><?xml version="1.0" encoding="utf-8"?>
<sst xmlns="http://schemas.openxmlformats.org/spreadsheetml/2006/main" count="108" uniqueCount="62">
  <si>
    <t>MERCADO</t>
  </si>
  <si>
    <t>ARCHER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</si>
  <si>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</si>
  <si>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</si>
  <si>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</si>
  <si>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</si>
  <si>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</si>
  <si>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</si>
  <si>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</si>
  <si>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</si>
  <si>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</si>
  <si>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</si>
  <si>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 xml:space="preserve">Marca </t>
  </si>
  <si>
    <t>Urbano</t>
  </si>
  <si>
    <t>São Roque</t>
  </si>
  <si>
    <t>Sítio Cercado</t>
  </si>
  <si>
    <t>Preço</t>
  </si>
  <si>
    <t>Açucar Refinado</t>
  </si>
  <si>
    <t>Marca</t>
  </si>
  <si>
    <t>Caravelas</t>
  </si>
  <si>
    <t>Alto Alegre</t>
  </si>
  <si>
    <t xml:space="preserve">Cana Real </t>
  </si>
  <si>
    <t>Café em pó</t>
  </si>
  <si>
    <t>Caboclo</t>
  </si>
  <si>
    <t>Melita</t>
  </si>
  <si>
    <t>3 Corações</t>
  </si>
  <si>
    <t>Farinha de Trigo</t>
  </si>
  <si>
    <t>Anaconda</t>
  </si>
  <si>
    <t>Farina</t>
  </si>
  <si>
    <t>Orquídea</t>
  </si>
  <si>
    <t>Feijão Preto</t>
  </si>
  <si>
    <t>Caru Serrano</t>
  </si>
  <si>
    <t>Manteiga</t>
  </si>
  <si>
    <t>Pote</t>
  </si>
  <si>
    <t>Batavo</t>
  </si>
  <si>
    <t>Tirol</t>
  </si>
  <si>
    <t>Friolack</t>
  </si>
  <si>
    <t>Óleo de Soja</t>
  </si>
  <si>
    <t>Garrafa</t>
  </si>
  <si>
    <t>L</t>
  </si>
  <si>
    <t>Soya</t>
  </si>
  <si>
    <t>Liza</t>
  </si>
  <si>
    <t>Vitaliv</t>
  </si>
  <si>
    <t>Carne</t>
  </si>
  <si>
    <t>Granel</t>
  </si>
  <si>
    <t>Coxão Mole</t>
  </si>
  <si>
    <t>Patinho</t>
  </si>
  <si>
    <t>Coxão de fora</t>
  </si>
  <si>
    <t>Pão Francês</t>
  </si>
  <si>
    <t>Pão Frances</t>
  </si>
  <si>
    <t>Batata</t>
  </si>
  <si>
    <t>Inglesa lavada</t>
  </si>
  <si>
    <t>Tomate</t>
  </si>
  <si>
    <t>Leite</t>
  </si>
  <si>
    <t>Caixa</t>
  </si>
  <si>
    <t>Italac</t>
  </si>
  <si>
    <t>Piracanjuba</t>
  </si>
  <si>
    <t>Banana</t>
  </si>
  <si>
    <t>Caturra</t>
  </si>
  <si>
    <t>Branca</t>
  </si>
  <si>
    <t>Terra</t>
  </si>
  <si>
    <t>Setembro/2025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</si>
</sst>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9" xfId="0" applyFont="1" applyBorder="1"/>
    <xf numFmtId="0" fontId="2" fillId="0" borderId="7" xfId="0" applyFont="1" applyBorder="1"/>
    <xf numFmtId="0" fontId="2" fillId="0" borderId="16" xfId="0" applyFont="1" applyBorder="1"/>
    <xf numFmtId="0" fontId="2" fillId="3" borderId="1" xfId="0" applyFont="1" applyFill="1" applyBorder="1"/>
    <xf numFmtId="0" fontId="2" fillId="3" borderId="17" xfId="0" applyFont="1" applyFill="1" applyBorder="1"/>
    <xf numFmtId="0" fontId="2" fillId="3" borderId="11" xfId="0" applyFont="1" applyFill="1" applyBorder="1"/>
    <xf numFmtId="0" fontId="2" fillId="3" borderId="18" xfId="0" applyFont="1" applyFill="1" applyBorder="1"/>
    <xf numFmtId="0" fontId="2" fillId="3" borderId="7" xfId="0" applyFont="1" applyFill="1" applyBorder="1"/>
    <xf numFmtId="0" fontId="2" fillId="3" borderId="16" xfId="0" applyFont="1" applyFill="1" applyBorder="1"/>
    <xf numFmtId="0" fontId="2" fillId="0" borderId="0" xfId="0" applyFont="1" applyAlignment="1">
      <alignment horizontal="center"/>
    </xf>
    <xf numFmtId="0" fontId="1" fillId="4" borderId="15" xfId="0" applyFont="1" applyFill="1" applyBorder="1"/>
    <xf numFmtId="0" fontId="1" fillId="4" borderId="20" xfId="0" applyFont="1" applyFill="1" applyBorder="1"/>
    <xf numFmtId="0" fontId="2" fillId="4" borderId="2" xfId="0" applyFont="1" applyFill="1" applyBorder="1"/>
    <xf numFmtId="0" fontId="2" fillId="4" borderId="10" xfId="0" applyFont="1" applyFill="1" applyBorder="1"/>
    <xf numFmtId="0" fontId="2" fillId="4" borderId="10" xfId="0" applyFont="1" applyFill="1" applyBorder="1" applyAlignment="1">
      <alignment horizontal="center"/>
    </xf>
    <xf numFmtId="0" fontId="2" fillId="4" borderId="21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2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3" xfId="0" applyFont="1" applyFill="1" applyBorder="1"/>
    <xf numFmtId="0" fontId="4" fillId="4" borderId="19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/>
    </xf>
    <xf numFmtId="49" fontId="3" fillId="5" borderId="15" xfId="0" applyNumberFormat="1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676275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topLeftCell="A12" zoomScaleNormal="100" workbookViewId="0">
      <selection activeCell="E6" sqref="E6:H6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85546875" style="15" bestFit="1" customWidth="1"/>
    <col min="6" max="6" width="20" style="4" customWidth="1"/>
    <col min="7" max="7" width="25" style="4" customWidth="1"/>
    <col min="8" max="8" width="18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customHeight="1" x14ac:dyDescent="0.25">
      <c r="A4" s="26"/>
      <c r="B4" s="27"/>
      <c r="C4" s="27"/>
      <c r="D4" s="27"/>
      <c r="E4" s="28"/>
      <c r="F4" s="27"/>
      <c r="G4" s="27"/>
      <c r="H4" s="27"/>
      <c r="I4" s="29"/>
    </row>
    <row r="5" spans="1:9" ht="16.5" customHeight="1" x14ac:dyDescent="0.25">
      <c r="A5" s="30" t="s">
        <v>0</v>
      </c>
      <c r="B5" s="54" t="s">
        <v>1</v>
      </c>
      <c r="C5" s="54"/>
      <c r="D5" s="31" t="s">
        <v>2</v>
      </c>
      <c r="E5" s="55" t="s">
        <v>61</v>
      </c>
      <c r="F5" s="55"/>
      <c r="G5" s="55"/>
      <c r="H5" s="16"/>
      <c r="I5" s="17"/>
    </row>
    <row r="6" spans="1:9" ht="16.5" customHeight="1" x14ac:dyDescent="0.25">
      <c r="A6" s="1" t="s">
        <v>3</v>
      </c>
      <c r="B6" s="2" t="s">
        <v>4</v>
      </c>
      <c r="C6" s="2" t="s">
        <v>5</v>
      </c>
      <c r="D6" s="2" t="s">
        <v>6</v>
      </c>
      <c r="E6" s="58" t="s">
        <v>7</v>
      </c>
      <c r="F6" s="59"/>
      <c r="G6" s="59"/>
      <c r="H6" s="59"/>
      <c r="I6" s="3" t="s">
        <v>8</v>
      </c>
    </row>
    <row r="7" spans="1:9" x14ac:dyDescent="0.25">
      <c r="A7" s="36" t="s">
        <v>9</v>
      </c>
      <c r="B7" s="38" t="s">
        <v>10</v>
      </c>
      <c r="C7" s="38" t="s">
        <v>11</v>
      </c>
      <c r="D7" s="40">
        <v>1</v>
      </c>
      <c r="E7" s="32" t="s">
        <v>12</v>
      </c>
      <c r="F7" s="5" t="s">
        <v>13</v>
      </c>
      <c r="G7" s="5" t="s">
        <v>14</v>
      </c>
      <c r="H7" s="6" t="s">
        <v>15</v>
      </c>
      <c r="I7" s="56">
        <f>AVERAGE(F8:H8)</f>
        <v>3.4533333333333331</v>
      </c>
    </row>
    <row r="8" spans="1:9" ht="16.5" customHeight="1" x14ac:dyDescent="0.25">
      <c r="A8" s="37"/>
      <c r="B8" s="39"/>
      <c r="C8" s="39"/>
      <c r="D8" s="41"/>
      <c r="E8" s="33" t="s">
        <v>16</v>
      </c>
      <c r="F8" s="7">
        <v>4.12</v>
      </c>
      <c r="G8" s="7">
        <v>3.25</v>
      </c>
      <c r="H8" s="8">
        <v>2.99</v>
      </c>
      <c r="I8" s="57"/>
    </row>
    <row r="9" spans="1:9" x14ac:dyDescent="0.25">
      <c r="A9" s="44" t="s">
        <v>17</v>
      </c>
      <c r="B9" s="46" t="s">
        <v>10</v>
      </c>
      <c r="C9" s="46" t="s">
        <v>11</v>
      </c>
      <c r="D9" s="42">
        <v>1</v>
      </c>
      <c r="E9" s="34" t="s">
        <v>18</v>
      </c>
      <c r="F9" s="9" t="s">
        <v>19</v>
      </c>
      <c r="G9" s="9" t="s">
        <v>20</v>
      </c>
      <c r="H9" s="10" t="s">
        <v>21</v>
      </c>
      <c r="I9" s="60">
        <f>AVERAGE(F10:H10)</f>
        <v>3.8866666666666667</v>
      </c>
    </row>
    <row r="10" spans="1:9" ht="16.5" customHeight="1" x14ac:dyDescent="0.25">
      <c r="A10" s="45"/>
      <c r="B10" s="47"/>
      <c r="C10" s="47"/>
      <c r="D10" s="43"/>
      <c r="E10" s="35" t="s">
        <v>16</v>
      </c>
      <c r="F10" s="11">
        <v>3.99</v>
      </c>
      <c r="G10" s="11">
        <v>3.96</v>
      </c>
      <c r="H10" s="12">
        <v>3.71</v>
      </c>
      <c r="I10" s="61"/>
    </row>
    <row r="11" spans="1:9" x14ac:dyDescent="0.25">
      <c r="A11" s="36" t="s">
        <v>22</v>
      </c>
      <c r="B11" s="38" t="s">
        <v>10</v>
      </c>
      <c r="C11" s="38" t="s">
        <v>11</v>
      </c>
      <c r="D11" s="40">
        <v>0.5</v>
      </c>
      <c r="E11" s="32" t="s">
        <v>18</v>
      </c>
      <c r="F11" s="5" t="s">
        <v>23</v>
      </c>
      <c r="G11" s="5" t="s">
        <v>24</v>
      </c>
      <c r="H11" s="6" t="s">
        <v>25</v>
      </c>
      <c r="I11" s="56">
        <f>AVERAGE(F12:H12)</f>
        <v>29.783333333333331</v>
      </c>
    </row>
    <row r="12" spans="1:9" ht="16.5" customHeight="1" x14ac:dyDescent="0.25">
      <c r="A12" s="37"/>
      <c r="B12" s="39"/>
      <c r="C12" s="39"/>
      <c r="D12" s="41"/>
      <c r="E12" s="33" t="s">
        <v>16</v>
      </c>
      <c r="F12" s="7">
        <v>29.68</v>
      </c>
      <c r="G12" s="7">
        <v>29.99</v>
      </c>
      <c r="H12" s="8">
        <v>29.68</v>
      </c>
      <c r="I12" s="57"/>
    </row>
    <row r="13" spans="1:9" x14ac:dyDescent="0.25">
      <c r="A13" s="44" t="s">
        <v>26</v>
      </c>
      <c r="B13" s="46" t="s">
        <v>10</v>
      </c>
      <c r="C13" s="46" t="s">
        <v>11</v>
      </c>
      <c r="D13" s="42">
        <v>1</v>
      </c>
      <c r="E13" s="34" t="s">
        <v>12</v>
      </c>
      <c r="F13" s="9" t="s">
        <v>27</v>
      </c>
      <c r="G13" s="9" t="s">
        <v>28</v>
      </c>
      <c r="H13" s="10" t="s">
        <v>29</v>
      </c>
      <c r="I13" s="60">
        <f>AVERAGE(F14:H14)</f>
        <v>3.4733333333333332</v>
      </c>
    </row>
    <row r="14" spans="1:9" ht="16.5" customHeight="1" x14ac:dyDescent="0.25">
      <c r="A14" s="45"/>
      <c r="B14" s="47"/>
      <c r="C14" s="47"/>
      <c r="D14" s="43"/>
      <c r="E14" s="35" t="s">
        <v>16</v>
      </c>
      <c r="F14" s="11">
        <v>3.8</v>
      </c>
      <c r="G14" s="11">
        <v>2.93</v>
      </c>
      <c r="H14" s="12">
        <v>3.69</v>
      </c>
      <c r="I14" s="61"/>
    </row>
    <row r="15" spans="1:9" x14ac:dyDescent="0.25">
      <c r="A15" s="36" t="s">
        <v>30</v>
      </c>
      <c r="B15" s="38" t="s">
        <v>10</v>
      </c>
      <c r="C15" s="38" t="s">
        <v>11</v>
      </c>
      <c r="D15" s="40">
        <v>1</v>
      </c>
      <c r="E15" s="32" t="s">
        <v>18</v>
      </c>
      <c r="F15" s="5" t="s">
        <v>13</v>
      </c>
      <c r="G15" s="5" t="s">
        <v>15</v>
      </c>
      <c r="H15" s="6" t="s">
        <v>31</v>
      </c>
      <c r="I15" s="56">
        <f>AVERAGE(F16:H16)</f>
        <v>4.82</v>
      </c>
    </row>
    <row r="16" spans="1:9" ht="16.5" customHeight="1" x14ac:dyDescent="0.25">
      <c r="A16" s="37"/>
      <c r="B16" s="39"/>
      <c r="C16" s="39"/>
      <c r="D16" s="41"/>
      <c r="E16" s="33" t="s">
        <v>16</v>
      </c>
      <c r="F16" s="7">
        <v>5.24</v>
      </c>
      <c r="G16" s="7">
        <v>4.74</v>
      </c>
      <c r="H16" s="8">
        <v>4.4800000000000004</v>
      </c>
      <c r="I16" s="57"/>
    </row>
    <row r="17" spans="1:9" x14ac:dyDescent="0.25">
      <c r="A17" s="44" t="s">
        <v>32</v>
      </c>
      <c r="B17" s="46" t="s">
        <v>33</v>
      </c>
      <c r="C17" s="46" t="s">
        <v>11</v>
      </c>
      <c r="D17" s="42">
        <v>0.5</v>
      </c>
      <c r="E17" s="34" t="s">
        <v>18</v>
      </c>
      <c r="F17" s="9" t="s">
        <v>34</v>
      </c>
      <c r="G17" s="9" t="s">
        <v>35</v>
      </c>
      <c r="H17" s="10" t="s">
        <v>36</v>
      </c>
      <c r="I17" s="60">
        <f>AVERAGE(F18:H18)</f>
        <v>27.290000000000003</v>
      </c>
    </row>
    <row r="18" spans="1:9" ht="16.5" customHeight="1" x14ac:dyDescent="0.25">
      <c r="A18" s="45"/>
      <c r="B18" s="47"/>
      <c r="C18" s="47"/>
      <c r="D18" s="43"/>
      <c r="E18" s="35" t="s">
        <v>16</v>
      </c>
      <c r="F18" s="11">
        <v>26.97</v>
      </c>
      <c r="G18" s="11">
        <v>29.95</v>
      </c>
      <c r="H18" s="12">
        <v>24.95</v>
      </c>
      <c r="I18" s="61"/>
    </row>
    <row r="19" spans="1:9" x14ac:dyDescent="0.25">
      <c r="A19" s="36" t="s">
        <v>37</v>
      </c>
      <c r="B19" s="38" t="s">
        <v>38</v>
      </c>
      <c r="C19" s="38" t="s">
        <v>39</v>
      </c>
      <c r="D19" s="40">
        <v>0.9</v>
      </c>
      <c r="E19" s="32" t="s">
        <v>18</v>
      </c>
      <c r="F19" s="5" t="s">
        <v>40</v>
      </c>
      <c r="G19" s="5" t="s">
        <v>41</v>
      </c>
      <c r="H19" s="6" t="s">
        <v>42</v>
      </c>
      <c r="I19" s="56">
        <f>AVERAGE(F20:H20)</f>
        <v>7.7233333333333327</v>
      </c>
    </row>
    <row r="20" spans="1:9" ht="16.5" customHeight="1" x14ac:dyDescent="0.25">
      <c r="A20" s="37"/>
      <c r="B20" s="39"/>
      <c r="C20" s="39"/>
      <c r="D20" s="41"/>
      <c r="E20" s="33" t="s">
        <v>16</v>
      </c>
      <c r="F20" s="7">
        <v>7.49</v>
      </c>
      <c r="G20" s="7">
        <v>7.89</v>
      </c>
      <c r="H20" s="8">
        <v>7.79</v>
      </c>
      <c r="I20" s="57"/>
    </row>
    <row r="21" spans="1:9" x14ac:dyDescent="0.25">
      <c r="A21" s="44" t="s">
        <v>43</v>
      </c>
      <c r="B21" s="46" t="s">
        <v>44</v>
      </c>
      <c r="C21" s="46" t="s">
        <v>11</v>
      </c>
      <c r="D21" s="42">
        <v>1</v>
      </c>
      <c r="E21" s="34" t="s">
        <v>18</v>
      </c>
      <c r="F21" s="9" t="s">
        <v>45</v>
      </c>
      <c r="G21" s="9" t="s">
        <v>46</v>
      </c>
      <c r="H21" s="10" t="s">
        <v>47</v>
      </c>
      <c r="I21" s="60">
        <f>AVERAGE(F22:H22)</f>
        <v>48.9</v>
      </c>
    </row>
    <row r="22" spans="1:9" ht="16.5" customHeight="1" x14ac:dyDescent="0.25">
      <c r="A22" s="45"/>
      <c r="B22" s="47"/>
      <c r="C22" s="47"/>
      <c r="D22" s="43"/>
      <c r="E22" s="35" t="s">
        <v>16</v>
      </c>
      <c r="F22" s="11">
        <v>49.9</v>
      </c>
      <c r="G22" s="11">
        <v>48.9</v>
      </c>
      <c r="H22" s="12">
        <v>47.9</v>
      </c>
      <c r="I22" s="61"/>
    </row>
    <row r="23" spans="1:9" x14ac:dyDescent="0.25">
      <c r="A23" s="36" t="s">
        <v>48</v>
      </c>
      <c r="B23" s="38" t="s">
        <v>44</v>
      </c>
      <c r="C23" s="38" t="s">
        <v>11</v>
      </c>
      <c r="D23" s="40">
        <v>1</v>
      </c>
      <c r="E23" s="32" t="s">
        <v>18</v>
      </c>
      <c r="F23" s="5" t="s">
        <v>49</v>
      </c>
      <c r="G23" s="5"/>
      <c r="H23" s="6"/>
      <c r="I23" s="56">
        <f>AVERAGE(F24:H24)</f>
        <v>17.899999999999999</v>
      </c>
    </row>
    <row r="24" spans="1:9" ht="16.5" customHeight="1" x14ac:dyDescent="0.25">
      <c r="A24" s="37"/>
      <c r="B24" s="39"/>
      <c r="C24" s="39"/>
      <c r="D24" s="41"/>
      <c r="E24" s="33" t="s">
        <v>16</v>
      </c>
      <c r="F24" s="7">
        <v>17.899999999999999</v>
      </c>
      <c r="G24" s="7"/>
      <c r="H24" s="8"/>
      <c r="I24" s="57"/>
    </row>
    <row r="25" spans="1:9" x14ac:dyDescent="0.25">
      <c r="A25" s="44" t="s">
        <v>50</v>
      </c>
      <c r="B25" s="46" t="s">
        <v>44</v>
      </c>
      <c r="C25" s="46" t="s">
        <v>11</v>
      </c>
      <c r="D25" s="42">
        <v>1</v>
      </c>
      <c r="E25" s="34" t="s">
        <v>18</v>
      </c>
      <c r="F25" s="9" t="s">
        <v>51</v>
      </c>
      <c r="G25" s="9"/>
      <c r="H25" s="10"/>
      <c r="I25" s="60">
        <f>AVERAGE(F26:H26)</f>
        <v>2.89</v>
      </c>
    </row>
    <row r="26" spans="1:9" ht="16.5" customHeight="1" x14ac:dyDescent="0.25">
      <c r="A26" s="45"/>
      <c r="B26" s="47"/>
      <c r="C26" s="47"/>
      <c r="D26" s="43"/>
      <c r="E26" s="35" t="s">
        <v>16</v>
      </c>
      <c r="F26" s="11">
        <v>2.89</v>
      </c>
      <c r="G26" s="11"/>
      <c r="H26" s="12"/>
      <c r="I26" s="61"/>
    </row>
    <row r="27" spans="1:9" x14ac:dyDescent="0.25">
      <c r="A27" s="36" t="s">
        <v>52</v>
      </c>
      <c r="B27" s="48" t="s">
        <v>44</v>
      </c>
      <c r="C27" s="48" t="s">
        <v>11</v>
      </c>
      <c r="D27" s="50">
        <v>1</v>
      </c>
      <c r="E27" s="32" t="s">
        <v>18</v>
      </c>
      <c r="F27" s="5" t="s">
        <v>52</v>
      </c>
      <c r="G27" s="5"/>
      <c r="H27" s="6"/>
      <c r="I27" s="56">
        <f>AVERAGE(F28:H28)</f>
        <v>7.29</v>
      </c>
    </row>
    <row r="28" spans="1:9" ht="16.5" customHeight="1" x14ac:dyDescent="0.25">
      <c r="A28" s="37"/>
      <c r="B28" s="49"/>
      <c r="C28" s="49"/>
      <c r="D28" s="51"/>
      <c r="E28" s="33" t="s">
        <v>16</v>
      </c>
      <c r="F28" s="7">
        <v>7.29</v>
      </c>
      <c r="G28" s="7"/>
      <c r="H28" s="8"/>
      <c r="I28" s="57"/>
    </row>
    <row r="29" spans="1:9" x14ac:dyDescent="0.25">
      <c r="A29" s="44" t="s">
        <v>53</v>
      </c>
      <c r="B29" s="46" t="s">
        <v>54</v>
      </c>
      <c r="C29" s="46" t="s">
        <v>39</v>
      </c>
      <c r="D29" s="42">
        <v>1</v>
      </c>
      <c r="E29" s="34" t="s">
        <v>18</v>
      </c>
      <c r="F29" s="9" t="s">
        <v>55</v>
      </c>
      <c r="G29" s="9" t="s">
        <v>35</v>
      </c>
      <c r="H29" s="10" t="s">
        <v>56</v>
      </c>
      <c r="I29" s="60">
        <f>AVERAGE(F30:H30)</f>
        <v>4.4233333333333329</v>
      </c>
    </row>
    <row r="30" spans="1:9" ht="16.5" customHeight="1" x14ac:dyDescent="0.25">
      <c r="A30" s="45"/>
      <c r="B30" s="52"/>
      <c r="C30" s="52"/>
      <c r="D30" s="53"/>
      <c r="E30" s="33" t="s">
        <v>16</v>
      </c>
      <c r="F30" s="13">
        <v>3.99</v>
      </c>
      <c r="G30" s="13">
        <v>4.49</v>
      </c>
      <c r="H30" s="14">
        <v>4.79</v>
      </c>
      <c r="I30" s="61"/>
    </row>
    <row r="31" spans="1:9" x14ac:dyDescent="0.25">
      <c r="A31" s="36" t="s">
        <v>57</v>
      </c>
      <c r="B31" s="48" t="s">
        <v>44</v>
      </c>
      <c r="C31" s="48" t="s">
        <v>11</v>
      </c>
      <c r="D31" s="50">
        <v>1</v>
      </c>
      <c r="E31" s="32" t="s">
        <v>18</v>
      </c>
      <c r="F31" s="5" t="s">
        <v>58</v>
      </c>
      <c r="G31" s="5" t="s">
        <v>59</v>
      </c>
      <c r="H31" s="6" t="s">
        <v>60</v>
      </c>
      <c r="I31" s="56">
        <f>AVERAGE(F32:H32)</f>
        <v>6.7833333333333341</v>
      </c>
    </row>
    <row r="32" spans="1:9" ht="16.5" customHeight="1" x14ac:dyDescent="0.25">
      <c r="A32" s="37"/>
      <c r="B32" s="49"/>
      <c r="C32" s="49"/>
      <c r="D32" s="51"/>
      <c r="E32" s="33" t="s">
        <v>16</v>
      </c>
      <c r="F32" s="7">
        <v>4.8899999999999997</v>
      </c>
      <c r="G32" s="7">
        <v>5.87</v>
      </c>
      <c r="H32" s="8">
        <v>9.59</v>
      </c>
      <c r="I32" s="57"/>
    </row>
    <row r="35" ht="15.75" hidden="1" customHeight="1" x14ac:dyDescent="0.25"/>
    <row r="36" ht="15.75" hidden="1" customHeight="1" x14ac:dyDescent="0.25"/>
    <row r="37" ht="15.75" hidden="1" customHeight="1" x14ac:dyDescent="0.25"/>
    <row r="38" ht="15.75" hidden="1" customHeight="1" x14ac:dyDescent="0.25"/>
    <row r="39" ht="15.75" hidden="1" customHeight="1" x14ac:dyDescent="0.25"/>
    <row r="40" ht="15.75" hidden="1" customHeight="1" x14ac:dyDescent="0.25"/>
    <row r="41" ht="15.75" hidden="1" customHeight="1" x14ac:dyDescent="0.25"/>
    <row r="42" ht="15.75" hidden="1" customHeight="1" x14ac:dyDescent="0.25"/>
    <row r="43" ht="15.75" hidden="1" customHeight="1" x14ac:dyDescent="0.25"/>
    <row r="44" ht="15.75" hidden="1" customHeight="1" x14ac:dyDescent="0.25"/>
    <row r="45" ht="15.75" hidden="1" customHeight="1" x14ac:dyDescent="0.25"/>
    <row r="46" ht="15.75" hidden="1" customHeight="1" x14ac:dyDescent="0.25"/>
    <row r="47" ht="15.75" hidden="1" customHeight="1" x14ac:dyDescent="0.25"/>
    <row r="48" ht="15.75" hidden="1" customHeight="1" x14ac:dyDescent="0.25"/>
    <row r="49" ht="15.75" hidden="1" customHeight="1" x14ac:dyDescent="0.25"/>
    <row r="50" ht="15.75" hidden="1" customHeight="1" x14ac:dyDescent="0.25"/>
    <row r="51" ht="15.75" hidden="1" customHeight="1" x14ac:dyDescent="0.25"/>
    <row r="52" ht="15.75" hidden="1" customHeight="1" x14ac:dyDescent="0.25"/>
    <row r="53" ht="15.75" hidden="1" customHeight="1" x14ac:dyDescent="0.25"/>
    <row r="54" ht="15.75" hidden="1" customHeight="1" x14ac:dyDescent="0.25"/>
    <row r="55" ht="15.75" hidden="1" customHeight="1" x14ac:dyDescent="0.25"/>
    <row r="56" ht="15.75" hidden="1" customHeight="1" x14ac:dyDescent="0.25"/>
    <row r="57" ht="15.75" hidden="1" customHeight="1" x14ac:dyDescent="0.25"/>
    <row r="58" ht="15.75" hidden="1" customHeight="1" x14ac:dyDescent="0.25"/>
    <row r="59" ht="15.75" hidden="1" customHeight="1" x14ac:dyDescent="0.25"/>
    <row r="60" ht="15.75" hidden="1" customHeight="1" x14ac:dyDescent="0.25"/>
    <row r="61" ht="15.75" hidden="1" customHeight="1" x14ac:dyDescent="0.25"/>
    <row r="62" ht="15.75" hidden="1" customHeight="1" x14ac:dyDescent="0.25"/>
    <row r="63" ht="15.75" hidden="1" customHeight="1" x14ac:dyDescent="0.25"/>
    <row r="64" ht="15.75" hidden="1" customHeight="1" x14ac:dyDescent="0.25"/>
    <row r="65" ht="15.75" hidden="1" customHeight="1" x14ac:dyDescent="0.25"/>
    <row r="66" ht="15.75" hidden="1" customHeight="1" x14ac:dyDescent="0.25"/>
    <row r="67" ht="15.75" hidden="1" customHeight="1" x14ac:dyDescent="0.25"/>
    <row r="68" ht="15.75" hidden="1" customHeight="1" x14ac:dyDescent="0.25"/>
    <row r="69" ht="15.75" hidden="1" customHeight="1" x14ac:dyDescent="0.25"/>
    <row r="70" ht="15.75" hidden="1" customHeight="1" x14ac:dyDescent="0.25"/>
    <row r="71" ht="15.75" hidden="1" customHeight="1" x14ac:dyDescent="0.25"/>
    <row r="72" ht="15.75" hidden="1" customHeight="1" x14ac:dyDescent="0.25"/>
    <row r="73" ht="15.75" hidden="1" customHeight="1" x14ac:dyDescent="0.25"/>
    <row r="74" ht="15.75" hidden="1" customHeight="1" x14ac:dyDescent="0.25"/>
    <row r="75" ht="15.75" hidden="1" customHeight="1" x14ac:dyDescent="0.25"/>
    <row r="76" ht="15.75" hidden="1" customHeight="1" x14ac:dyDescent="0.25"/>
  </sheetData>
  <mergeCells count="68"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I19:I20"/>
    <mergeCell ref="E5:G5"/>
    <mergeCell ref="I7:I8"/>
    <mergeCell ref="I11:I12"/>
    <mergeCell ref="I15:I16"/>
    <mergeCell ref="E6:H6"/>
    <mergeCell ref="B5:C5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23:D24"/>
    <mergeCell ref="D25:D26"/>
    <mergeCell ref="C17:C18"/>
    <mergeCell ref="C19:C20"/>
    <mergeCell ref="C21:C22"/>
    <mergeCell ref="C23:C24"/>
    <mergeCell ref="C25:C26"/>
    <mergeCell ref="D19:D20"/>
    <mergeCell ref="A31:A32"/>
    <mergeCell ref="B31:B32"/>
    <mergeCell ref="C31:C32"/>
    <mergeCell ref="D31:D32"/>
    <mergeCell ref="C29:C30"/>
    <mergeCell ref="A29:A30"/>
    <mergeCell ref="D29:D30"/>
    <mergeCell ref="B29:B30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D11:D12"/>
    <mergeCell ref="C11:C12"/>
    <mergeCell ref="B11:B12"/>
    <mergeCell ref="A15:A16"/>
    <mergeCell ref="B15:B16"/>
    <mergeCell ref="C15:C16"/>
    <mergeCell ref="D15:D16"/>
    <mergeCell ref="D21:D22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7F49-2FE0-DA46-B88B-AA141AC8DB04}">
  <dimension ref="A1"/>
  <sheetViews>
    <sheetView zoomScaleNormal="100" zoomScaleSheetLayoutView="10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2025-11-07T21:33:04Z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