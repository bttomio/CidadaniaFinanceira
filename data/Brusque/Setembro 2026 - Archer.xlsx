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ttomio\Documents\GitHub\CidadaniaFinanceira\data\Brusque\"/>
    </mc:Choice>
  </mc:AlternateContent>
  <xr:revisionPtr revIDLastSave="0" documentId="13_ncr:1_{EFF585B0-0565-4806-B068-3B0428508529}" xr6:coauthVersionLast="47" xr6:coauthVersionMax="47" xr10:uidLastSave="{00000000-0000-0000-0000-000000000000}"/>
  <bookViews>
    <workbookView xWindow="-120" yWindow="-120" windowWidth="24240" windowHeight="13020" xr2:uid="{604CC733-772E-4BEE-A73F-D34061F0A89B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" i="1" l="1"/>
  <c r="I28" i="1"/>
  <c r="I26" i="1"/>
  <c r="I24" i="1"/>
  <c r="I22" i="1"/>
  <c r="I20" i="1"/>
  <c r="I18" i="1"/>
  <c r="I16" i="1"/>
  <c r="I14" i="1"/>
  <c r="I12" i="1"/>
  <c r="I10" i="1"/>
  <c r="I8" i="1"/>
  <c r="I6" i="1"/>
</calcChain>
</file>

<file path=xl/sharedStrings.xml><?xml version="1.0" encoding="utf-8"?>
<sst xmlns="http://schemas.openxmlformats.org/spreadsheetml/2006/main" count="102" uniqueCount="57">
  <si>
    <t>MERCADO</t>
  </si>
  <si>
    <t>Archer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</si>
  <si>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</si>
  <si>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</si>
  <si>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</si>
  <si>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</si>
  <si>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</si>
  <si>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</si>
  <si>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</si>
  <si>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</si>
  <si>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</si>
  <si>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</si>
  <si>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</si>
  <si>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Kiarroz</t>
  </si>
  <si>
    <t>Urbano</t>
  </si>
  <si>
    <t>Preço</t>
  </si>
  <si>
    <t>Açucar Refinado</t>
  </si>
  <si>
    <t>Caravelas</t>
  </si>
  <si>
    <t>Alto Alegre</t>
  </si>
  <si>
    <t>Café em pó</t>
  </si>
  <si>
    <t>Bom Jesus</t>
  </si>
  <si>
    <t>Pilão</t>
  </si>
  <si>
    <t>Farinha de Trigo</t>
  </si>
  <si>
    <t xml:space="preserve">Marca </t>
  </si>
  <si>
    <t>Anaconda</t>
  </si>
  <si>
    <t>Orquídea</t>
  </si>
  <si>
    <t>Nita</t>
  </si>
  <si>
    <t>Feijão Preto</t>
  </si>
  <si>
    <t>Sítio Cercado</t>
  </si>
  <si>
    <t>Caldo Bom</t>
  </si>
  <si>
    <t>Manteiga</t>
  </si>
  <si>
    <t>Pote</t>
  </si>
  <si>
    <t>Tirol</t>
  </si>
  <si>
    <t>Laclelo</t>
  </si>
  <si>
    <t>Gran Maestri</t>
  </si>
  <si>
    <t>Óleo de Soja</t>
  </si>
  <si>
    <t>Garrafa</t>
  </si>
  <si>
    <t>L</t>
  </si>
  <si>
    <t>Soya</t>
  </si>
  <si>
    <t>Vitaliv</t>
  </si>
  <si>
    <t>Carne</t>
  </si>
  <si>
    <t>Granel</t>
  </si>
  <si>
    <t>Coxão Mole</t>
  </si>
  <si>
    <t>Coxão Duro</t>
  </si>
  <si>
    <t>Pão Francês</t>
  </si>
  <si>
    <t>Batata</t>
  </si>
  <si>
    <t>Lavada</t>
  </si>
  <si>
    <t xml:space="preserve">Inglesa </t>
  </si>
  <si>
    <t>Tomate</t>
  </si>
  <si>
    <t>Leite</t>
  </si>
  <si>
    <t>Caixa</t>
  </si>
  <si>
    <t>Italac</t>
  </si>
  <si>
    <t>Piracanjuba</t>
  </si>
  <si>
    <t>Banana</t>
  </si>
  <si>
    <t>Branca</t>
  </si>
  <si>
    <t>Caturra</t>
  </si>
  <si>
    <t xml:space="preserve"> Setembro/2026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</si>
</sst>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sz val="12"/>
      <color theme="1"/>
      <name val="Bookman Old Style"/>
      <family val="1"/>
    </font>
    <font>
      <sz val="12"/>
      <color theme="9"/>
      <name val="Bookman Old Style"/>
      <family val="1"/>
    </font>
    <font>
      <sz val="12"/>
      <name val="Bookman Old Style"/>
      <family val="1"/>
    </font>
    <font>
      <sz val="12"/>
      <color theme="0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/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4" fillId="2" borderId="7" xfId="0" applyFont="1" applyFill="1" applyBorder="1"/>
    <xf numFmtId="0" fontId="4" fillId="2" borderId="8" xfId="0" applyFont="1" applyFill="1" applyBorder="1"/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0" borderId="14" xfId="0" applyFont="1" applyBorder="1"/>
    <xf numFmtId="0" fontId="1" fillId="0" borderId="15" xfId="0" applyFont="1" applyBorder="1"/>
    <xf numFmtId="0" fontId="1" fillId="4" borderId="18" xfId="0" applyFont="1" applyFill="1" applyBorder="1" applyAlignment="1">
      <alignment horizontal="center"/>
    </xf>
    <xf numFmtId="0" fontId="1" fillId="0" borderId="18" xfId="0" applyFont="1" applyBorder="1"/>
    <xf numFmtId="0" fontId="1" fillId="0" borderId="19" xfId="0" applyFont="1" applyBorder="1"/>
    <xf numFmtId="0" fontId="1" fillId="4" borderId="22" xfId="0" applyFont="1" applyFill="1" applyBorder="1" applyAlignment="1">
      <alignment horizontal="center"/>
    </xf>
    <xf numFmtId="0" fontId="1" fillId="5" borderId="22" xfId="0" applyFont="1" applyFill="1" applyBorder="1"/>
    <xf numFmtId="0" fontId="1" fillId="5" borderId="23" xfId="0" applyFont="1" applyFill="1" applyBorder="1"/>
    <xf numFmtId="0" fontId="1" fillId="4" borderId="25" xfId="0" applyFont="1" applyFill="1" applyBorder="1" applyAlignment="1">
      <alignment horizontal="center"/>
    </xf>
    <xf numFmtId="0" fontId="1" fillId="5" borderId="25" xfId="0" applyFont="1" applyFill="1" applyBorder="1"/>
    <xf numFmtId="0" fontId="1" fillId="5" borderId="26" xfId="0" applyFont="1" applyFill="1" applyBorder="1"/>
    <xf numFmtId="0" fontId="1" fillId="5" borderId="18" xfId="0" applyFont="1" applyFill="1" applyBorder="1"/>
    <xf numFmtId="0" fontId="1" fillId="5" borderId="19" xfId="0" applyFont="1" applyFill="1" applyBorder="1"/>
    <xf numFmtId="0" fontId="1" fillId="0" borderId="27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28" xfId="0" applyNumberFormat="1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164" fontId="1" fillId="5" borderId="22" xfId="0" applyNumberFormat="1" applyFont="1" applyFill="1" applyBorder="1" applyAlignment="1">
      <alignment horizontal="center" vertical="center"/>
    </xf>
    <xf numFmtId="164" fontId="1" fillId="5" borderId="18" xfId="0" applyNumberFormat="1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164" fontId="1" fillId="0" borderId="18" xfId="0" applyNumberFormat="1" applyFont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164" fontId="1" fillId="5" borderId="25" xfId="0" applyNumberFormat="1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49" fontId="3" fillId="3" borderId="7" xfId="0" applyNumberFormat="1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0EE0C-6423-4681-914D-89DC13C7DAB1}">
  <dimension ref="A1:I31"/>
  <sheetViews>
    <sheetView tabSelected="1" topLeftCell="B13" workbookViewId="0">
      <selection activeCell="H20" sqref="H20:H21"/>
    </sheetView>
  </sheetViews>
  <sheetFormatPr defaultRowHeight="15" x14ac:dyDescent="0.25"/>
  <cols>
    <col min="1" max="1" width="20.140625" bestFit="1" customWidth="1"/>
    <col min="2" max="2" width="14.5703125" bestFit="1" customWidth="1"/>
    <col min="3" max="3" width="10.7109375" bestFit="1" customWidth="1"/>
    <col min="4" max="4" width="14.7109375" bestFit="1" customWidth="1"/>
    <col min="5" max="5" width="8.85546875" bestFit="1" customWidth="1"/>
    <col min="6" max="6" width="16.42578125" bestFit="1" customWidth="1"/>
    <col min="7" max="7" width="14.7109375" bestFit="1" customWidth="1"/>
    <col min="8" max="8" width="16.28515625" bestFit="1" customWidth="1"/>
    <col min="9" max="9" width="17.140625" bestFit="1" customWidth="1"/>
  </cols>
  <sheetData>
    <row r="1" spans="1:9" ht="15.75" x14ac:dyDescent="0.25">
      <c r="A1" s="1"/>
      <c r="B1" s="2"/>
      <c r="C1" s="2"/>
      <c r="D1" s="2"/>
      <c r="E1" s="3"/>
      <c r="F1" s="2"/>
      <c r="G1" s="2"/>
      <c r="H1" s="2"/>
      <c r="I1" s="4"/>
    </row>
    <row r="2" spans="1:9" ht="15.75" x14ac:dyDescent="0.25">
      <c r="A2" s="1"/>
      <c r="B2" s="2"/>
      <c r="C2" s="2"/>
      <c r="D2" s="2"/>
      <c r="E2" s="3"/>
      <c r="F2" s="2"/>
      <c r="G2" s="2"/>
      <c r="H2" s="2"/>
      <c r="I2" s="4"/>
    </row>
    <row r="3" spans="1:9" ht="16.5" thickBot="1" x14ac:dyDescent="0.3">
      <c r="A3" s="5"/>
      <c r="B3" s="6"/>
      <c r="C3" s="6"/>
      <c r="D3" s="6"/>
      <c r="E3" s="7"/>
      <c r="F3" s="6"/>
      <c r="G3" s="6"/>
      <c r="H3" s="6"/>
      <c r="I3" s="8"/>
    </row>
    <row r="4" spans="1:9" ht="16.5" thickBot="1" x14ac:dyDescent="0.3">
      <c r="A4" s="9" t="s">
        <v>0</v>
      </c>
      <c r="B4" s="55" t="s">
        <v>1</v>
      </c>
      <c r="C4" s="55"/>
      <c r="D4" s="10" t="s">
        <v>2</v>
      </c>
      <c r="E4" s="56" t="s">
        <v>56</v>
      </c>
      <c r="F4" s="56"/>
      <c r="G4" s="56"/>
      <c r="H4" s="11"/>
      <c r="I4" s="12"/>
    </row>
    <row r="5" spans="1:9" ht="16.5" thickBot="1" x14ac:dyDescent="0.3">
      <c r="A5" s="13" t="s">
        <v>3</v>
      </c>
      <c r="B5" s="14" t="s">
        <v>4</v>
      </c>
      <c r="C5" s="14" t="s">
        <v>5</v>
      </c>
      <c r="D5" s="14" t="s">
        <v>6</v>
      </c>
      <c r="E5" s="57" t="s">
        <v>7</v>
      </c>
      <c r="F5" s="58"/>
      <c r="G5" s="58"/>
      <c r="H5" s="58"/>
      <c r="I5" s="15" t="s">
        <v>8</v>
      </c>
    </row>
    <row r="6" spans="1:9" ht="15.75" x14ac:dyDescent="0.25">
      <c r="A6" s="46" t="s">
        <v>9</v>
      </c>
      <c r="B6" s="48" t="s">
        <v>10</v>
      </c>
      <c r="C6" s="48" t="s">
        <v>11</v>
      </c>
      <c r="D6" s="50">
        <v>1</v>
      </c>
      <c r="E6" s="16" t="s">
        <v>12</v>
      </c>
      <c r="F6" s="17" t="s">
        <v>13</v>
      </c>
      <c r="G6" s="17"/>
      <c r="H6" s="18" t="s">
        <v>14</v>
      </c>
      <c r="I6" s="36">
        <f>AVERAGE(F7:H7)</f>
        <v>3.6900000000000004</v>
      </c>
    </row>
    <row r="7" spans="1:9" ht="16.5" thickBot="1" x14ac:dyDescent="0.3">
      <c r="A7" s="47"/>
      <c r="B7" s="49"/>
      <c r="C7" s="49"/>
      <c r="D7" s="51"/>
      <c r="E7" s="19" t="s">
        <v>15</v>
      </c>
      <c r="F7" s="20">
        <v>3.49</v>
      </c>
      <c r="G7" s="20"/>
      <c r="H7" s="21">
        <v>3.89</v>
      </c>
      <c r="I7" s="37"/>
    </row>
    <row r="8" spans="1:9" ht="15.75" x14ac:dyDescent="0.25">
      <c r="A8" s="38" t="s">
        <v>16</v>
      </c>
      <c r="B8" s="40" t="s">
        <v>10</v>
      </c>
      <c r="C8" s="40" t="s">
        <v>11</v>
      </c>
      <c r="D8" s="42">
        <v>1</v>
      </c>
      <c r="E8" s="22" t="s">
        <v>12</v>
      </c>
      <c r="F8" s="23" t="s">
        <v>17</v>
      </c>
      <c r="G8" s="23" t="s">
        <v>18</v>
      </c>
      <c r="H8" s="24"/>
      <c r="I8" s="44">
        <f>AVERAGE(F9:H9)</f>
        <v>3.24</v>
      </c>
    </row>
    <row r="9" spans="1:9" ht="16.5" thickBot="1" x14ac:dyDescent="0.3">
      <c r="A9" s="52"/>
      <c r="B9" s="53"/>
      <c r="C9" s="53"/>
      <c r="D9" s="54"/>
      <c r="E9" s="25" t="s">
        <v>15</v>
      </c>
      <c r="F9" s="26">
        <v>3.49</v>
      </c>
      <c r="G9" s="26">
        <v>2.99</v>
      </c>
      <c r="H9" s="27"/>
      <c r="I9" s="45"/>
    </row>
    <row r="10" spans="1:9" ht="15.75" x14ac:dyDescent="0.25">
      <c r="A10" s="46" t="s">
        <v>19</v>
      </c>
      <c r="B10" s="48" t="s">
        <v>10</v>
      </c>
      <c r="C10" s="48" t="s">
        <v>11</v>
      </c>
      <c r="D10" s="50">
        <v>0.5</v>
      </c>
      <c r="E10" s="16" t="s">
        <v>12</v>
      </c>
      <c r="F10" s="17"/>
      <c r="G10" s="17" t="s">
        <v>20</v>
      </c>
      <c r="H10" s="18" t="s">
        <v>21</v>
      </c>
      <c r="I10" s="36">
        <f>AVERAGE(F11:H11)</f>
        <v>25.48</v>
      </c>
    </row>
    <row r="11" spans="1:9" ht="16.5" thickBot="1" x14ac:dyDescent="0.3">
      <c r="A11" s="47"/>
      <c r="B11" s="49"/>
      <c r="C11" s="49"/>
      <c r="D11" s="51"/>
      <c r="E11" s="19" t="s">
        <v>15</v>
      </c>
      <c r="F11" s="20"/>
      <c r="G11" s="20">
        <v>23.98</v>
      </c>
      <c r="H11" s="21">
        <v>26.98</v>
      </c>
      <c r="I11" s="37"/>
    </row>
    <row r="12" spans="1:9" ht="15.75" x14ac:dyDescent="0.25">
      <c r="A12" s="38" t="s">
        <v>22</v>
      </c>
      <c r="B12" s="40" t="s">
        <v>10</v>
      </c>
      <c r="C12" s="40" t="s">
        <v>11</v>
      </c>
      <c r="D12" s="42">
        <v>1</v>
      </c>
      <c r="E12" s="22" t="s">
        <v>23</v>
      </c>
      <c r="F12" s="23" t="s">
        <v>24</v>
      </c>
      <c r="G12" s="23" t="s">
        <v>25</v>
      </c>
      <c r="H12" s="24" t="s">
        <v>26</v>
      </c>
      <c r="I12" s="44">
        <f>AVERAGE(F13:H13)</f>
        <v>4.3566666666666665</v>
      </c>
    </row>
    <row r="13" spans="1:9" ht="16.5" thickBot="1" x14ac:dyDescent="0.3">
      <c r="A13" s="52"/>
      <c r="B13" s="53"/>
      <c r="C13" s="53"/>
      <c r="D13" s="54"/>
      <c r="E13" s="25" t="s">
        <v>15</v>
      </c>
      <c r="F13" s="26">
        <v>4.29</v>
      </c>
      <c r="G13" s="26">
        <v>3.99</v>
      </c>
      <c r="H13" s="27">
        <v>4.79</v>
      </c>
      <c r="I13" s="45"/>
    </row>
    <row r="14" spans="1:9" ht="15.75" x14ac:dyDescent="0.25">
      <c r="A14" s="46" t="s">
        <v>27</v>
      </c>
      <c r="B14" s="48" t="s">
        <v>10</v>
      </c>
      <c r="C14" s="48" t="s">
        <v>11</v>
      </c>
      <c r="D14" s="50">
        <v>1</v>
      </c>
      <c r="E14" s="16" t="s">
        <v>12</v>
      </c>
      <c r="F14" s="17" t="s">
        <v>28</v>
      </c>
      <c r="G14" s="17"/>
      <c r="H14" s="18" t="s">
        <v>29</v>
      </c>
      <c r="I14" s="36">
        <f>AVERAGE(F15:H15)</f>
        <v>7.29</v>
      </c>
    </row>
    <row r="15" spans="1:9" ht="16.5" thickBot="1" x14ac:dyDescent="0.3">
      <c r="A15" s="47"/>
      <c r="B15" s="49"/>
      <c r="C15" s="49"/>
      <c r="D15" s="51"/>
      <c r="E15" s="19" t="s">
        <v>15</v>
      </c>
      <c r="F15" s="20">
        <v>6.99</v>
      </c>
      <c r="G15" s="20"/>
      <c r="H15" s="21">
        <v>7.59</v>
      </c>
      <c r="I15" s="37"/>
    </row>
    <row r="16" spans="1:9" ht="15.75" x14ac:dyDescent="0.25">
      <c r="A16" s="38" t="s">
        <v>30</v>
      </c>
      <c r="B16" s="40" t="s">
        <v>31</v>
      </c>
      <c r="C16" s="40" t="s">
        <v>11</v>
      </c>
      <c r="D16" s="42">
        <v>0.5</v>
      </c>
      <c r="E16" s="22" t="s">
        <v>12</v>
      </c>
      <c r="F16" s="23" t="s">
        <v>32</v>
      </c>
      <c r="G16" s="23" t="s">
        <v>33</v>
      </c>
      <c r="H16" s="24" t="s">
        <v>34</v>
      </c>
      <c r="I16" s="44">
        <f>AVERAGE(F17:H17)</f>
        <v>29.303333333333331</v>
      </c>
    </row>
    <row r="17" spans="1:9" ht="16.5" thickBot="1" x14ac:dyDescent="0.3">
      <c r="A17" s="52"/>
      <c r="B17" s="53"/>
      <c r="C17" s="53"/>
      <c r="D17" s="54"/>
      <c r="E17" s="25" t="s">
        <v>15</v>
      </c>
      <c r="F17" s="26">
        <v>28.72</v>
      </c>
      <c r="G17" s="26">
        <v>29.97</v>
      </c>
      <c r="H17" s="27">
        <v>29.22</v>
      </c>
      <c r="I17" s="45"/>
    </row>
    <row r="18" spans="1:9" ht="15.75" x14ac:dyDescent="0.25">
      <c r="A18" s="46" t="s">
        <v>35</v>
      </c>
      <c r="B18" s="48" t="s">
        <v>36</v>
      </c>
      <c r="C18" s="48" t="s">
        <v>37</v>
      </c>
      <c r="D18" s="50">
        <v>0.9</v>
      </c>
      <c r="E18" s="16" t="s">
        <v>12</v>
      </c>
      <c r="F18" s="17" t="s">
        <v>38</v>
      </c>
      <c r="G18" s="17" t="s">
        <v>39</v>
      </c>
      <c r="H18" s="18"/>
      <c r="I18" s="36">
        <f>AVERAGE(F19:H19)</f>
        <v>7.29</v>
      </c>
    </row>
    <row r="19" spans="1:9" ht="16.5" thickBot="1" x14ac:dyDescent="0.3">
      <c r="A19" s="47"/>
      <c r="B19" s="49"/>
      <c r="C19" s="49"/>
      <c r="D19" s="51"/>
      <c r="E19" s="19" t="s">
        <v>15</v>
      </c>
      <c r="F19" s="20">
        <v>6.99</v>
      </c>
      <c r="G19" s="20">
        <v>7.59</v>
      </c>
      <c r="H19" s="21"/>
      <c r="I19" s="37"/>
    </row>
    <row r="20" spans="1:9" ht="15.75" x14ac:dyDescent="0.25">
      <c r="A20" s="38" t="s">
        <v>40</v>
      </c>
      <c r="B20" s="40" t="s">
        <v>41</v>
      </c>
      <c r="C20" s="40" t="s">
        <v>11</v>
      </c>
      <c r="D20" s="42">
        <v>1</v>
      </c>
      <c r="E20" s="22" t="s">
        <v>12</v>
      </c>
      <c r="F20" s="23" t="s">
        <v>42</v>
      </c>
      <c r="G20" s="23" t="s">
        <v>43</v>
      </c>
      <c r="H20" s="24"/>
      <c r="I20" s="44">
        <f>AVERAGE(F21:H21)</f>
        <v>50.94</v>
      </c>
    </row>
    <row r="21" spans="1:9" ht="16.5" thickBot="1" x14ac:dyDescent="0.3">
      <c r="A21" s="52"/>
      <c r="B21" s="53"/>
      <c r="C21" s="53"/>
      <c r="D21" s="54"/>
      <c r="E21" s="25" t="s">
        <v>15</v>
      </c>
      <c r="F21" s="26">
        <v>49.98</v>
      </c>
      <c r="G21" s="26">
        <v>51.9</v>
      </c>
      <c r="H21" s="27"/>
      <c r="I21" s="45"/>
    </row>
    <row r="22" spans="1:9" ht="15.75" x14ac:dyDescent="0.25">
      <c r="A22" s="46" t="s">
        <v>44</v>
      </c>
      <c r="B22" s="48" t="s">
        <v>41</v>
      </c>
      <c r="C22" s="48" t="s">
        <v>11</v>
      </c>
      <c r="D22" s="50">
        <v>1</v>
      </c>
      <c r="E22" s="16" t="s">
        <v>12</v>
      </c>
      <c r="F22" s="17" t="s">
        <v>44</v>
      </c>
      <c r="G22" s="17"/>
      <c r="H22" s="18"/>
      <c r="I22" s="36">
        <f>AVERAGE(F23:H23)</f>
        <v>17.899999999999999</v>
      </c>
    </row>
    <row r="23" spans="1:9" ht="16.5" thickBot="1" x14ac:dyDescent="0.3">
      <c r="A23" s="47"/>
      <c r="B23" s="49"/>
      <c r="C23" s="49"/>
      <c r="D23" s="51"/>
      <c r="E23" s="19" t="s">
        <v>15</v>
      </c>
      <c r="F23" s="20">
        <v>17.899999999999999</v>
      </c>
      <c r="G23" s="20"/>
      <c r="H23" s="21"/>
      <c r="I23" s="37"/>
    </row>
    <row r="24" spans="1:9" ht="15.75" x14ac:dyDescent="0.25">
      <c r="A24" s="38" t="s">
        <v>45</v>
      </c>
      <c r="B24" s="40" t="s">
        <v>41</v>
      </c>
      <c r="C24" s="40" t="s">
        <v>11</v>
      </c>
      <c r="D24" s="42">
        <v>1</v>
      </c>
      <c r="E24" s="22" t="s">
        <v>12</v>
      </c>
      <c r="F24" s="23" t="s">
        <v>46</v>
      </c>
      <c r="G24" s="23" t="s">
        <v>47</v>
      </c>
      <c r="H24" s="24"/>
      <c r="I24" s="44">
        <f>AVERAGE(F25:H25)</f>
        <v>6.99</v>
      </c>
    </row>
    <row r="25" spans="1:9" ht="16.5" thickBot="1" x14ac:dyDescent="0.3">
      <c r="A25" s="52"/>
      <c r="B25" s="53"/>
      <c r="C25" s="53"/>
      <c r="D25" s="54"/>
      <c r="E25" s="25" t="s">
        <v>15</v>
      </c>
      <c r="F25" s="26">
        <v>6.99</v>
      </c>
      <c r="G25" s="26">
        <v>6.99</v>
      </c>
      <c r="H25" s="27"/>
      <c r="I25" s="45"/>
    </row>
    <row r="26" spans="1:9" ht="15.75" x14ac:dyDescent="0.25">
      <c r="A26" s="30" t="s">
        <v>48</v>
      </c>
      <c r="B26" s="32" t="s">
        <v>41</v>
      </c>
      <c r="C26" s="32" t="s">
        <v>11</v>
      </c>
      <c r="D26" s="34">
        <v>1</v>
      </c>
      <c r="E26" s="16" t="s">
        <v>12</v>
      </c>
      <c r="F26" s="17" t="s">
        <v>48</v>
      </c>
      <c r="G26" s="17"/>
      <c r="H26" s="18"/>
      <c r="I26" s="36">
        <f>AVERAGE(F27:H27)</f>
        <v>10.98</v>
      </c>
    </row>
    <row r="27" spans="1:9" ht="16.5" thickBot="1" x14ac:dyDescent="0.3">
      <c r="A27" s="31"/>
      <c r="B27" s="33"/>
      <c r="C27" s="33"/>
      <c r="D27" s="35"/>
      <c r="E27" s="19" t="s">
        <v>15</v>
      </c>
      <c r="F27" s="20">
        <v>10.98</v>
      </c>
      <c r="G27" s="20"/>
      <c r="H27" s="21"/>
      <c r="I27" s="37"/>
    </row>
    <row r="28" spans="1:9" ht="15.75" x14ac:dyDescent="0.25">
      <c r="A28" s="38" t="s">
        <v>49</v>
      </c>
      <c r="B28" s="40" t="s">
        <v>50</v>
      </c>
      <c r="C28" s="40" t="s">
        <v>37</v>
      </c>
      <c r="D28" s="42">
        <v>1</v>
      </c>
      <c r="E28" s="22" t="s">
        <v>12</v>
      </c>
      <c r="F28" s="23" t="s">
        <v>32</v>
      </c>
      <c r="G28" s="23" t="s">
        <v>51</v>
      </c>
      <c r="H28" s="24" t="s">
        <v>52</v>
      </c>
      <c r="I28" s="44">
        <f>AVERAGE(F29:H29)</f>
        <v>5.123333333333334</v>
      </c>
    </row>
    <row r="29" spans="1:9" ht="16.5" thickBot="1" x14ac:dyDescent="0.3">
      <c r="A29" s="39"/>
      <c r="B29" s="41"/>
      <c r="C29" s="41"/>
      <c r="D29" s="43"/>
      <c r="E29" s="19" t="s">
        <v>15</v>
      </c>
      <c r="F29" s="28">
        <v>5.29</v>
      </c>
      <c r="G29" s="28">
        <v>4.6900000000000004</v>
      </c>
      <c r="H29" s="29">
        <v>5.39</v>
      </c>
      <c r="I29" s="45"/>
    </row>
    <row r="30" spans="1:9" ht="15.75" x14ac:dyDescent="0.25">
      <c r="A30" s="30" t="s">
        <v>53</v>
      </c>
      <c r="B30" s="32" t="s">
        <v>41</v>
      </c>
      <c r="C30" s="32" t="s">
        <v>11</v>
      </c>
      <c r="D30" s="34">
        <v>1</v>
      </c>
      <c r="E30" s="16" t="s">
        <v>12</v>
      </c>
      <c r="F30" s="17" t="s">
        <v>54</v>
      </c>
      <c r="G30" s="17" t="s">
        <v>55</v>
      </c>
      <c r="H30" s="18"/>
      <c r="I30" s="36">
        <f>AVERAGE(F31:H31)</f>
        <v>5.74</v>
      </c>
    </row>
    <row r="31" spans="1:9" ht="16.5" thickBot="1" x14ac:dyDescent="0.3">
      <c r="A31" s="31"/>
      <c r="B31" s="33"/>
      <c r="C31" s="33"/>
      <c r="D31" s="35"/>
      <c r="E31" s="19" t="s">
        <v>15</v>
      </c>
      <c r="F31" s="20">
        <v>6.49</v>
      </c>
      <c r="G31" s="20">
        <v>4.99</v>
      </c>
      <c r="H31" s="21"/>
      <c r="I31" s="37"/>
    </row>
  </sheetData>
  <mergeCells count="68">
    <mergeCell ref="B4:C4"/>
    <mergeCell ref="E4:G4"/>
    <mergeCell ref="E5:H5"/>
    <mergeCell ref="A6:A7"/>
    <mergeCell ref="B6:B7"/>
    <mergeCell ref="C6:C7"/>
    <mergeCell ref="D6:D7"/>
    <mergeCell ref="I6:I7"/>
    <mergeCell ref="A8:A9"/>
    <mergeCell ref="B8:B9"/>
    <mergeCell ref="C8:C9"/>
    <mergeCell ref="D8:D9"/>
    <mergeCell ref="I8:I9"/>
    <mergeCell ref="A12:A13"/>
    <mergeCell ref="B12:B13"/>
    <mergeCell ref="C12:C13"/>
    <mergeCell ref="D12:D13"/>
    <mergeCell ref="I12:I13"/>
    <mergeCell ref="A10:A11"/>
    <mergeCell ref="B10:B11"/>
    <mergeCell ref="C10:C11"/>
    <mergeCell ref="D10:D11"/>
    <mergeCell ref="I10:I11"/>
    <mergeCell ref="A16:A17"/>
    <mergeCell ref="B16:B17"/>
    <mergeCell ref="C16:C17"/>
    <mergeCell ref="D16:D17"/>
    <mergeCell ref="I16:I17"/>
    <mergeCell ref="A14:A15"/>
    <mergeCell ref="B14:B15"/>
    <mergeCell ref="C14:C15"/>
    <mergeCell ref="D14:D15"/>
    <mergeCell ref="I14:I15"/>
    <mergeCell ref="A20:A21"/>
    <mergeCell ref="B20:B21"/>
    <mergeCell ref="C20:C21"/>
    <mergeCell ref="D20:D21"/>
    <mergeCell ref="I20:I21"/>
    <mergeCell ref="A18:A19"/>
    <mergeCell ref="B18:B19"/>
    <mergeCell ref="C18:C19"/>
    <mergeCell ref="D18:D19"/>
    <mergeCell ref="I18:I19"/>
    <mergeCell ref="A24:A25"/>
    <mergeCell ref="B24:B25"/>
    <mergeCell ref="C24:C25"/>
    <mergeCell ref="D24:D25"/>
    <mergeCell ref="I24:I25"/>
    <mergeCell ref="A22:A23"/>
    <mergeCell ref="B22:B23"/>
    <mergeCell ref="C22:C23"/>
    <mergeCell ref="D22:D23"/>
    <mergeCell ref="I22:I23"/>
    <mergeCell ref="A28:A29"/>
    <mergeCell ref="B28:B29"/>
    <mergeCell ref="C28:C29"/>
    <mergeCell ref="D28:D29"/>
    <mergeCell ref="I28:I29"/>
    <mergeCell ref="A26:A27"/>
    <mergeCell ref="B26:B27"/>
    <mergeCell ref="C26:C27"/>
    <mergeCell ref="D26:D27"/>
    <mergeCell ref="I26:I27"/>
    <mergeCell ref="A30:A31"/>
    <mergeCell ref="B30:B31"/>
    <mergeCell ref="C30:C31"/>
    <mergeCell ref="D30:D31"/>
    <mergeCell ref="I30:I3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Ernesto Celva</dc:creator>
  <cp:keywords/>
  <dc:description/>
  <cp:lastModifiedBy>Bruno Thiago Tomio</cp:lastModifiedBy>
  <cp:revision/>
  <dcterms:created xsi:type="dcterms:W3CDTF">2026-08-17T20:15:42Z</dcterms:created>
  <dcterms:modified xsi:type="dcterms:W3CDTF">2026-09-09T21:35:45Z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c0dd6-8c65-43d6-9995-fff3709d7310_Enabled">
    <vt:lpwstr>true</vt:lpwstr>
  </property>
  <property fmtid="{D5CDD505-2E9C-101B-9397-08002B2CF9AE}" pid="3" name="MSIP_Label_9f9c0dd6-8c65-43d6-9995-fff3709d7310_SetDate">
    <vt:lpwstr>2026-09-06T23:02:04Z</vt:lpwstr>
  </property>
  <property fmtid="{D5CDD505-2E9C-101B-9397-08002B2CF9AE}" pid="4" name="MSIP_Label_9f9c0dd6-8c65-43d6-9995-fff3709d7310_Method">
    <vt:lpwstr>Standard</vt:lpwstr>
  </property>
  <property fmtid="{D5CDD505-2E9C-101B-9397-08002B2CF9AE}" pid="5" name="MSIP_Label_9f9c0dd6-8c65-43d6-9995-fff3709d7310_Name">
    <vt:lpwstr>defa4170-0d19-0005-0000-bc88714345d2</vt:lpwstr>
  </property>
  <property fmtid="{D5CDD505-2E9C-101B-9397-08002B2CF9AE}" pid="6" name="MSIP_Label_9f9c0dd6-8c65-43d6-9995-fff3709d7310_SiteId">
    <vt:lpwstr>0c2d222a-ecda-4b70-960a-acef6ced3052</vt:lpwstr>
  </property>
  <property fmtid="{D5CDD505-2E9C-101B-9397-08002B2CF9AE}" pid="7" name="MSIP_Label_9f9c0dd6-8c65-43d6-9995-fff3709d7310_ActionId">
    <vt:lpwstr>98d3609c-2ad6-4677-9a66-1816994836a8</vt:lpwstr>
  </property>
  <property fmtid="{D5CDD505-2E9C-101B-9397-08002B2CF9AE}" pid="8" name="MSIP_Label_9f9c0dd6-8c65-43d6-9995-fff3709d7310_ContentBits">
    <vt:lpwstr>0</vt:lpwstr>
  </property>
  <property fmtid="{D5CDD505-2E9C-101B-9397-08002B2CF9AE}" pid="9" name="MSIP_Label_9f9c0dd6-8c65-43d6-9995-fff3709d7310_Tag">
    <vt:lpwstr>10, 3, 0, 2</vt:lpwstr>
  </property>
</Properties>
</file>