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Indaial/"/>
    </mc:Choice>
  </mc:AlternateContent>
  <xr:revisionPtr revIDLastSave="9" documentId="11_E60897F41BE170836B02CE998F75CCDC64E183C8" xr6:coauthVersionLast="47" xr6:coauthVersionMax="47" xr10:uidLastSave="{4D24DDF4-E02C-4290-8885-24385A6F41E9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<sst xmlns="http://schemas.openxmlformats.org/spreadsheetml/2006/main" count="114" uniqueCount="72">
  <si>
    <t>MERCADO</t>
  </si>
  <si>
    <t>FORT ATACADISTA</t>
  </si>
  <si>
    <t>DATA</t>
  </si>
  <si>
    <t>Abril/2026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</si>
  <si>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</si>
  <si>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</si>
  <si>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</si>
  <si>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</si>
  <si>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</si>
  <si>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</si>
  <si>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</si>
  <si>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</si>
  <si>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</si>
  <si>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</si>
  <si>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TIO JOÃO</t>
  </si>
  <si>
    <t>CATARINÃO</t>
  </si>
  <si>
    <t>REALENGO</t>
  </si>
  <si>
    <t>Preço</t>
  </si>
  <si>
    <t>Açucar Refinado</t>
  </si>
  <si>
    <t>CARAVELAS</t>
  </si>
  <si>
    <t>UNIÃO</t>
  </si>
  <si>
    <t>ALTO ALEGRE</t>
  </si>
  <si>
    <t>Café em pó</t>
  </si>
  <si>
    <t>ODEBRECHT</t>
  </si>
  <si>
    <t>CABOCLO</t>
  </si>
  <si>
    <t>MELITTA</t>
  </si>
  <si>
    <t>Farinha de Trigo</t>
  </si>
  <si>
    <t xml:space="preserve">Marca </t>
  </si>
  <si>
    <t>NORDESTE</t>
  </si>
  <si>
    <t>FARINA</t>
  </si>
  <si>
    <t>DONA BENTA</t>
  </si>
  <si>
    <t>Feijão Preto</t>
  </si>
  <si>
    <t>URBANO</t>
  </si>
  <si>
    <t>CALDÃO</t>
  </si>
  <si>
    <t>CALDO CARIOCA</t>
  </si>
  <si>
    <t>Manteiga</t>
  </si>
  <si>
    <t>Pote</t>
  </si>
  <si>
    <t>LIDER</t>
  </si>
  <si>
    <t>ITACOLOMY</t>
  </si>
  <si>
    <t>AVIAÇÃO</t>
  </si>
  <si>
    <t>Óleo de Soja</t>
  </si>
  <si>
    <t>Garrafa</t>
  </si>
  <si>
    <t>L</t>
  </si>
  <si>
    <t>COAMO</t>
  </si>
  <si>
    <t>SOYA</t>
  </si>
  <si>
    <t>LIZA</t>
  </si>
  <si>
    <t>Carne</t>
  </si>
  <si>
    <t>Granel</t>
  </si>
  <si>
    <t>FORT COXÃO MOLE</t>
  </si>
  <si>
    <t>FORT ALCATRA</t>
  </si>
  <si>
    <t>FORT PATINHO</t>
  </si>
  <si>
    <t>Pão Francês</t>
  </si>
  <si>
    <t>FORT FRANCÊS</t>
  </si>
  <si>
    <t>FORT MINI FRANCÊS</t>
  </si>
  <si>
    <t>FORT CERVEJINHA</t>
  </si>
  <si>
    <t>Batata</t>
  </si>
  <si>
    <t>FORT LAVADA</t>
  </si>
  <si>
    <t>FORT ESCOVADA</t>
  </si>
  <si>
    <t>CANTU LAVADA</t>
  </si>
  <si>
    <t>Tomate</t>
  </si>
  <si>
    <t>FORT SALADA</t>
  </si>
  <si>
    <t>FORT ITALIANO</t>
  </si>
  <si>
    <t>FORT LONGA VIDA</t>
  </si>
  <si>
    <t>Leite</t>
  </si>
  <si>
    <t>Caixa</t>
  </si>
  <si>
    <t>AURORA</t>
  </si>
  <si>
    <t>TIROL</t>
  </si>
  <si>
    <t>ITALAC</t>
  </si>
  <si>
    <t>Banana</t>
  </si>
  <si>
    <t>FORT CATURRA</t>
  </si>
  <si>
    <t>FORT ORGÂNICA</t>
  </si>
  <si>
    <t>FORT BRANCA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</si>
</sst>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2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0" borderId="0" xfId="0" applyFont="1"/>
    <xf numFmtId="0" fontId="2" fillId="2" borderId="4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/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5" fillId="2" borderId="10" xfId="0" applyFont="1" applyFill="1" applyBorder="1"/>
    <xf numFmtId="0" fontId="5" fillId="2" borderId="11" xfId="0" applyFont="1" applyFill="1" applyBorder="1"/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65" fontId="2" fillId="0" borderId="31" xfId="0" applyNumberFormat="1" applyFont="1" applyBorder="1" applyAlignment="1">
      <alignment horizontal="center" vertical="center"/>
    </xf>
    <xf numFmtId="165" fontId="2" fillId="0" borderId="33" xfId="0" applyNumberFormat="1" applyFont="1" applyBorder="1" applyAlignment="1">
      <alignment horizontal="center" vertical="center"/>
    </xf>
    <xf numFmtId="0" fontId="2" fillId="0" borderId="19" xfId="1" applyNumberFormat="1" applyFont="1" applyBorder="1" applyAlignment="1">
      <alignment horizontal="center" vertical="center"/>
    </xf>
    <xf numFmtId="0" fontId="2" fillId="0" borderId="23" xfId="1" applyNumberFormat="1" applyFont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165" fontId="2" fillId="5" borderId="25" xfId="0" applyNumberFormat="1" applyFont="1" applyFill="1" applyBorder="1" applyAlignment="1">
      <alignment horizontal="center" vertical="center"/>
    </xf>
    <xf numFmtId="165" fontId="2" fillId="5" borderId="21" xfId="0" applyNumberFormat="1" applyFont="1" applyFill="1" applyBorder="1" applyAlignment="1">
      <alignment horizontal="center" vertical="center"/>
    </xf>
    <xf numFmtId="0" fontId="2" fillId="5" borderId="19" xfId="1" applyNumberFormat="1" applyFont="1" applyFill="1" applyBorder="1" applyAlignment="1">
      <alignment horizontal="center" vertical="center"/>
    </xf>
    <xf numFmtId="0" fontId="2" fillId="5" borderId="23" xfId="1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65" fontId="2" fillId="0" borderId="17" xfId="0" applyNumberFormat="1" applyFont="1" applyBorder="1" applyAlignment="1">
      <alignment horizontal="center" vertical="center"/>
    </xf>
    <xf numFmtId="165" fontId="2" fillId="0" borderId="21" xfId="0" applyNumberFormat="1" applyFont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165" fontId="2" fillId="5" borderId="28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/>
    </xf>
    <xf numFmtId="49" fontId="4" fillId="3" borderId="10" xfId="0" applyNumberFormat="1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0" borderId="17" xfId="1" applyNumberFormat="1" applyFont="1" applyBorder="1" applyAlignment="1">
      <alignment horizontal="center" vertical="center"/>
    </xf>
    <xf numFmtId="0" fontId="2" fillId="0" borderId="18" xfId="1" applyNumberFormat="1" applyFont="1" applyBorder="1" applyAlignment="1">
      <alignment horizontal="center" vertical="center"/>
    </xf>
    <xf numFmtId="0" fontId="2" fillId="0" borderId="21" xfId="1" applyNumberFormat="1" applyFont="1" applyBorder="1" applyAlignment="1">
      <alignment horizontal="center" vertical="center"/>
    </xf>
    <xf numFmtId="0" fontId="2" fillId="0" borderId="22" xfId="1" applyNumberFormat="1" applyFont="1" applyBorder="1" applyAlignment="1">
      <alignment horizontal="center" vertical="center"/>
    </xf>
    <xf numFmtId="0" fontId="2" fillId="5" borderId="25" xfId="1" applyNumberFormat="1" applyFont="1" applyFill="1" applyBorder="1" applyAlignment="1">
      <alignment horizontal="center" vertical="center"/>
    </xf>
    <xf numFmtId="0" fontId="2" fillId="0" borderId="26" xfId="1" applyNumberFormat="1" applyFont="1" applyFill="1" applyBorder="1" applyAlignment="1">
      <alignment horizontal="center" vertical="center"/>
    </xf>
    <xf numFmtId="0" fontId="2" fillId="5" borderId="28" xfId="1" applyNumberFormat="1" applyFont="1" applyFill="1" applyBorder="1" applyAlignment="1">
      <alignment horizontal="center" vertical="center"/>
    </xf>
    <xf numFmtId="0" fontId="2" fillId="0" borderId="29" xfId="1" applyNumberFormat="1" applyFont="1" applyFill="1" applyBorder="1" applyAlignment="1">
      <alignment horizontal="center" vertical="center"/>
    </xf>
    <xf numFmtId="0" fontId="2" fillId="0" borderId="18" xfId="1" applyNumberFormat="1" applyFont="1" applyFill="1" applyBorder="1" applyAlignment="1">
      <alignment horizontal="center" vertical="center"/>
    </xf>
    <xf numFmtId="0" fontId="2" fillId="0" borderId="22" xfId="1" applyNumberFormat="1" applyFont="1" applyFill="1" applyBorder="1" applyAlignment="1">
      <alignment horizontal="center" vertical="center"/>
    </xf>
    <xf numFmtId="0" fontId="2" fillId="5" borderId="26" xfId="1" applyNumberFormat="1" applyFont="1" applyFill="1" applyBorder="1" applyAlignment="1">
      <alignment horizontal="center" vertical="center"/>
    </xf>
    <xf numFmtId="0" fontId="2" fillId="5" borderId="29" xfId="1" applyNumberFormat="1" applyFont="1" applyFill="1" applyBorder="1" applyAlignment="1">
      <alignment horizontal="center" vertical="center"/>
    </xf>
    <xf numFmtId="0" fontId="2" fillId="0" borderId="25" xfId="1" applyNumberFormat="1" applyFont="1" applyFill="1" applyBorder="1" applyAlignment="1">
      <alignment horizontal="center" vertical="center"/>
    </xf>
    <xf numFmtId="0" fontId="2" fillId="0" borderId="28" xfId="1" applyNumberFormat="1" applyFont="1" applyFill="1" applyBorder="1" applyAlignment="1">
      <alignment horizontal="center" vertical="center"/>
    </xf>
    <xf numFmtId="0" fontId="2" fillId="0" borderId="17" xfId="1" applyNumberFormat="1" applyFont="1" applyFill="1" applyBorder="1" applyAlignment="1">
      <alignment horizontal="center" vertical="center"/>
    </xf>
    <xf numFmtId="0" fontId="2" fillId="0" borderId="21" xfId="1" applyNumberFormat="1" applyFont="1" applyFill="1" applyBorder="1" applyAlignment="1">
      <alignment horizontal="center" vertical="center"/>
    </xf>
    <xf numFmtId="0" fontId="2" fillId="5" borderId="21" xfId="1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I3" sqref="I3"/>
    </sheetView>
  </sheetViews>
  <sheetFormatPr defaultRowHeight="15" x14ac:dyDescent="0.25"/>
  <cols>
    <col min="1" max="1" width="19.7109375" bestFit="1" customWidth="1"/>
    <col min="2" max="2" width="14.28515625" bestFit="1" customWidth="1"/>
    <col min="3" max="3" width="10.42578125" bestFit="1" customWidth="1"/>
    <col min="4" max="4" width="14.28515625" bestFit="1" customWidth="1"/>
    <col min="5" max="5" width="8.85546875" bestFit="1" customWidth="1"/>
    <col min="6" max="6" width="25.85546875" bestFit="1" customWidth="1"/>
    <col min="7" max="7" width="27" bestFit="1" customWidth="1"/>
    <col min="8" max="8" width="25.140625" bestFit="1" customWidth="1"/>
    <col min="9" max="9" width="14.7109375" bestFit="1" customWidth="1"/>
  </cols>
  <sheetData>
    <row r="1" spans="1:14" ht="15.75" x14ac:dyDescent="0.25">
      <c r="A1" s="1"/>
      <c r="B1" s="2"/>
      <c r="C1" s="2"/>
      <c r="D1" s="2"/>
      <c r="E1" s="3"/>
      <c r="F1" s="2"/>
      <c r="G1" s="2"/>
      <c r="H1" s="2"/>
      <c r="I1" s="4"/>
      <c r="J1" s="5"/>
      <c r="K1" s="5"/>
      <c r="L1" s="5"/>
      <c r="M1" s="5"/>
      <c r="N1" s="5"/>
    </row>
    <row r="2" spans="1:14" ht="15.75" x14ac:dyDescent="0.25">
      <c r="A2" s="6"/>
      <c r="B2" s="7"/>
      <c r="C2" s="7"/>
      <c r="D2" s="7"/>
      <c r="E2" s="8"/>
      <c r="F2" s="7"/>
      <c r="G2" s="7"/>
      <c r="H2" s="7"/>
      <c r="I2" s="9"/>
      <c r="J2" s="5"/>
      <c r="K2" s="5"/>
      <c r="L2" s="5"/>
      <c r="M2" s="5"/>
      <c r="N2" s="5"/>
    </row>
    <row r="3" spans="1:14" ht="15.75" x14ac:dyDescent="0.25">
      <c r="A3" s="6"/>
      <c r="B3" s="7"/>
      <c r="C3" s="7"/>
      <c r="D3" s="7"/>
      <c r="E3" s="8"/>
      <c r="F3" s="7"/>
      <c r="G3" s="7"/>
      <c r="H3" s="7"/>
      <c r="I3" s="9"/>
      <c r="J3" s="5"/>
      <c r="K3" s="5"/>
      <c r="L3" s="5"/>
      <c r="M3" s="5"/>
      <c r="N3" s="5"/>
    </row>
    <row r="4" spans="1:14" ht="15.75" x14ac:dyDescent="0.25">
      <c r="A4" s="10"/>
      <c r="B4" s="11"/>
      <c r="C4" s="11"/>
      <c r="D4" s="11"/>
      <c r="E4" s="12"/>
      <c r="F4" s="11"/>
      <c r="G4" s="11"/>
      <c r="H4" s="11"/>
      <c r="I4" s="13"/>
      <c r="J4" s="5"/>
      <c r="K4" s="5"/>
      <c r="L4" s="5"/>
      <c r="M4" s="5"/>
      <c r="N4" s="5"/>
    </row>
    <row r="5" spans="1:14" ht="15.75" x14ac:dyDescent="0.25">
      <c r="A5" s="14" t="s">
        <v>0</v>
      </c>
      <c r="B5" s="51" t="s">
        <v>1</v>
      </c>
      <c r="C5" s="51"/>
      <c r="D5" s="15" t="s">
        <v>2</v>
      </c>
      <c r="E5" s="52" t="s">
        <v>3</v>
      </c>
      <c r="F5" s="52"/>
      <c r="G5" s="52"/>
      <c r="H5" s="16"/>
      <c r="I5" s="17"/>
      <c r="J5" s="5"/>
      <c r="K5" s="5"/>
      <c r="L5" s="5"/>
      <c r="M5" s="5"/>
      <c r="N5" s="5"/>
    </row>
    <row r="6" spans="1:14" ht="15.75" x14ac:dyDescent="0.25">
      <c r="A6" s="18" t="s">
        <v>4</v>
      </c>
      <c r="B6" s="19" t="s">
        <v>5</v>
      </c>
      <c r="C6" s="19" t="s">
        <v>6</v>
      </c>
      <c r="D6" s="19" t="s">
        <v>7</v>
      </c>
      <c r="E6" s="53" t="s">
        <v>8</v>
      </c>
      <c r="F6" s="54"/>
      <c r="G6" s="54"/>
      <c r="H6" s="54"/>
      <c r="I6" s="20" t="s">
        <v>9</v>
      </c>
      <c r="J6" s="5"/>
      <c r="K6" s="5"/>
      <c r="L6" s="5"/>
      <c r="M6" s="5"/>
      <c r="N6" s="5"/>
    </row>
    <row r="7" spans="1:14" ht="15.75" x14ac:dyDescent="0.25">
      <c r="A7" s="42" t="s">
        <v>10</v>
      </c>
      <c r="B7" s="44" t="s">
        <v>11</v>
      </c>
      <c r="C7" s="44" t="s">
        <v>12</v>
      </c>
      <c r="D7" s="46">
        <v>1</v>
      </c>
      <c r="E7" s="21" t="s">
        <v>13</v>
      </c>
      <c r="F7" s="55" t="s">
        <v>14</v>
      </c>
      <c r="G7" s="55" t="s">
        <v>15</v>
      </c>
      <c r="H7" s="56" t="s">
        <v>16</v>
      </c>
      <c r="I7" s="32">
        <f>AVERAGE(F8:H8)</f>
        <v>3.8833333333333333</v>
      </c>
      <c r="J7" s="5"/>
      <c r="K7" s="5"/>
      <c r="L7" s="5"/>
      <c r="M7" s="5"/>
      <c r="N7" s="5"/>
    </row>
    <row r="8" spans="1:14" ht="15.75" x14ac:dyDescent="0.25">
      <c r="A8" s="43"/>
      <c r="B8" s="45"/>
      <c r="C8" s="45"/>
      <c r="D8" s="47"/>
      <c r="E8" s="22" t="s">
        <v>17</v>
      </c>
      <c r="F8" s="57">
        <v>6.5</v>
      </c>
      <c r="G8" s="57">
        <v>2.4</v>
      </c>
      <c r="H8" s="58">
        <v>2.75</v>
      </c>
      <c r="I8" s="33"/>
      <c r="J8" s="5"/>
      <c r="K8" s="5"/>
      <c r="L8" s="5"/>
      <c r="M8" s="5"/>
      <c r="N8" s="5"/>
    </row>
    <row r="9" spans="1:14" ht="15.75" x14ac:dyDescent="0.25">
      <c r="A9" s="34" t="s">
        <v>18</v>
      </c>
      <c r="B9" s="36" t="s">
        <v>11</v>
      </c>
      <c r="C9" s="36" t="s">
        <v>12</v>
      </c>
      <c r="D9" s="38">
        <v>1</v>
      </c>
      <c r="E9" s="23" t="s">
        <v>13</v>
      </c>
      <c r="F9" s="59" t="s">
        <v>19</v>
      </c>
      <c r="G9" s="59" t="s">
        <v>20</v>
      </c>
      <c r="H9" s="60" t="s">
        <v>21</v>
      </c>
      <c r="I9" s="40">
        <f>AVERAGE(F10:H10)</f>
        <v>3.5766666666666667</v>
      </c>
      <c r="J9" s="5"/>
      <c r="K9" s="5"/>
      <c r="L9" s="5"/>
      <c r="M9" s="5"/>
      <c r="N9" s="5"/>
    </row>
    <row r="10" spans="1:14" ht="15.75" x14ac:dyDescent="0.25">
      <c r="A10" s="48"/>
      <c r="B10" s="49"/>
      <c r="C10" s="49"/>
      <c r="D10" s="50"/>
      <c r="E10" s="24" t="s">
        <v>17</v>
      </c>
      <c r="F10" s="61">
        <v>3.39</v>
      </c>
      <c r="G10" s="61">
        <v>3.35</v>
      </c>
      <c r="H10" s="62">
        <v>3.99</v>
      </c>
      <c r="I10" s="41"/>
      <c r="J10" s="5"/>
      <c r="K10" s="5"/>
      <c r="L10" s="5"/>
      <c r="M10" s="5"/>
      <c r="N10" s="5"/>
    </row>
    <row r="11" spans="1:14" ht="15.75" x14ac:dyDescent="0.25">
      <c r="A11" s="42" t="s">
        <v>22</v>
      </c>
      <c r="B11" s="44" t="s">
        <v>11</v>
      </c>
      <c r="C11" s="44" t="s">
        <v>12</v>
      </c>
      <c r="D11" s="46">
        <v>0.5</v>
      </c>
      <c r="E11" s="21" t="s">
        <v>13</v>
      </c>
      <c r="F11" s="55" t="s">
        <v>23</v>
      </c>
      <c r="G11" s="55" t="s">
        <v>24</v>
      </c>
      <c r="H11" s="56" t="s">
        <v>25</v>
      </c>
      <c r="I11" s="32">
        <f>AVERAGE(F12:H12)</f>
        <v>27.186666666666667</v>
      </c>
      <c r="J11" s="5"/>
      <c r="K11" s="5"/>
      <c r="L11" s="5"/>
      <c r="M11" s="5"/>
      <c r="N11" s="5"/>
    </row>
    <row r="12" spans="1:14" ht="15.75" x14ac:dyDescent="0.25">
      <c r="A12" s="43"/>
      <c r="B12" s="45"/>
      <c r="C12" s="45"/>
      <c r="D12" s="47"/>
      <c r="E12" s="22" t="s">
        <v>17</v>
      </c>
      <c r="F12" s="57">
        <v>16.98</v>
      </c>
      <c r="G12" s="57">
        <v>27.98</v>
      </c>
      <c r="H12" s="58">
        <v>36.6</v>
      </c>
      <c r="I12" s="33"/>
      <c r="J12" s="5"/>
      <c r="K12" s="5"/>
      <c r="L12" s="5"/>
      <c r="M12" s="5"/>
      <c r="N12" s="5"/>
    </row>
    <row r="13" spans="1:14" ht="15.75" x14ac:dyDescent="0.25">
      <c r="A13" s="34" t="s">
        <v>26</v>
      </c>
      <c r="B13" s="36" t="s">
        <v>11</v>
      </c>
      <c r="C13" s="36" t="s">
        <v>12</v>
      </c>
      <c r="D13" s="38">
        <v>1</v>
      </c>
      <c r="E13" s="23" t="s">
        <v>27</v>
      </c>
      <c r="F13" s="55" t="s">
        <v>28</v>
      </c>
      <c r="G13" s="55" t="s">
        <v>29</v>
      </c>
      <c r="H13" s="56" t="s">
        <v>30</v>
      </c>
      <c r="I13" s="40">
        <f>AVERAGE(F14:H14)</f>
        <v>3.3000000000000003</v>
      </c>
      <c r="J13" s="5"/>
      <c r="K13" s="5"/>
      <c r="L13" s="5"/>
      <c r="M13" s="5"/>
      <c r="N13" s="5"/>
    </row>
    <row r="14" spans="1:14" ht="15.75" x14ac:dyDescent="0.25">
      <c r="A14" s="48"/>
      <c r="B14" s="49"/>
      <c r="C14" s="49"/>
      <c r="D14" s="50"/>
      <c r="E14" s="24" t="s">
        <v>17</v>
      </c>
      <c r="F14" s="57">
        <v>3.5</v>
      </c>
      <c r="G14" s="57">
        <v>2.9</v>
      </c>
      <c r="H14" s="58">
        <v>3.5</v>
      </c>
      <c r="I14" s="41"/>
      <c r="J14" s="5"/>
      <c r="K14" s="5"/>
      <c r="L14" s="5"/>
      <c r="M14" s="5"/>
      <c r="N14" s="5"/>
    </row>
    <row r="15" spans="1:14" ht="15.75" x14ac:dyDescent="0.25">
      <c r="A15" s="42" t="s">
        <v>31</v>
      </c>
      <c r="B15" s="44" t="s">
        <v>11</v>
      </c>
      <c r="C15" s="44" t="s">
        <v>12</v>
      </c>
      <c r="D15" s="46">
        <v>1</v>
      </c>
      <c r="E15" s="21" t="s">
        <v>13</v>
      </c>
      <c r="F15" s="55" t="s">
        <v>32</v>
      </c>
      <c r="G15" s="55" t="s">
        <v>33</v>
      </c>
      <c r="H15" s="63" t="s">
        <v>34</v>
      </c>
      <c r="I15" s="32">
        <f>AVERAGE(F16:H16)</f>
        <v>5.8166666666666673</v>
      </c>
      <c r="J15" s="5"/>
      <c r="K15" s="5"/>
      <c r="L15" s="5"/>
      <c r="M15" s="5"/>
      <c r="N15" s="5"/>
    </row>
    <row r="16" spans="1:14" ht="15.75" x14ac:dyDescent="0.25">
      <c r="A16" s="43"/>
      <c r="B16" s="45"/>
      <c r="C16" s="45"/>
      <c r="D16" s="47"/>
      <c r="E16" s="22" t="s">
        <v>17</v>
      </c>
      <c r="F16" s="57">
        <v>5.98</v>
      </c>
      <c r="G16" s="57">
        <v>5.49</v>
      </c>
      <c r="H16" s="64">
        <v>5.98</v>
      </c>
      <c r="I16" s="33"/>
      <c r="J16" s="5"/>
      <c r="K16" s="5"/>
      <c r="L16" s="5"/>
      <c r="M16" s="5"/>
      <c r="N16" s="5"/>
    </row>
    <row r="17" spans="1:14" ht="15.75" x14ac:dyDescent="0.25">
      <c r="A17" s="34" t="s">
        <v>35</v>
      </c>
      <c r="B17" s="36" t="s">
        <v>36</v>
      </c>
      <c r="C17" s="36" t="s">
        <v>12</v>
      </c>
      <c r="D17" s="38">
        <v>0.5</v>
      </c>
      <c r="E17" s="23" t="s">
        <v>13</v>
      </c>
      <c r="F17" s="59" t="s">
        <v>37</v>
      </c>
      <c r="G17" s="59" t="s">
        <v>38</v>
      </c>
      <c r="H17" s="65" t="s">
        <v>39</v>
      </c>
      <c r="I17" s="40">
        <f>AVERAGE(F18:H18)</f>
        <v>25.593333333333334</v>
      </c>
      <c r="J17" s="5"/>
      <c r="K17" s="5"/>
      <c r="L17" s="5"/>
      <c r="M17" s="5"/>
      <c r="N17" s="5"/>
    </row>
    <row r="18" spans="1:14" ht="15.75" x14ac:dyDescent="0.25">
      <c r="A18" s="48"/>
      <c r="B18" s="49"/>
      <c r="C18" s="49"/>
      <c r="D18" s="50"/>
      <c r="E18" s="24" t="s">
        <v>17</v>
      </c>
      <c r="F18" s="61">
        <v>21.98</v>
      </c>
      <c r="G18" s="61">
        <v>25.9</v>
      </c>
      <c r="H18" s="66">
        <v>28.9</v>
      </c>
      <c r="I18" s="41"/>
      <c r="J18" s="5"/>
      <c r="K18" s="5"/>
      <c r="L18" s="5"/>
      <c r="M18" s="5"/>
      <c r="N18" s="5"/>
    </row>
    <row r="19" spans="1:14" ht="15.75" x14ac:dyDescent="0.25">
      <c r="A19" s="42" t="s">
        <v>40</v>
      </c>
      <c r="B19" s="44" t="s">
        <v>41</v>
      </c>
      <c r="C19" s="44" t="s">
        <v>42</v>
      </c>
      <c r="D19" s="46">
        <v>0.9</v>
      </c>
      <c r="E19" s="21" t="s">
        <v>13</v>
      </c>
      <c r="F19" s="55" t="s">
        <v>43</v>
      </c>
      <c r="G19" s="55" t="s">
        <v>44</v>
      </c>
      <c r="H19" s="56" t="s">
        <v>45</v>
      </c>
      <c r="I19" s="32">
        <f>AVERAGE(F20:H20)</f>
        <v>7.9533333333333331</v>
      </c>
      <c r="J19" s="5"/>
      <c r="K19" s="5"/>
      <c r="L19" s="5"/>
      <c r="M19" s="5"/>
      <c r="N19" s="5"/>
    </row>
    <row r="20" spans="1:14" ht="15.75" x14ac:dyDescent="0.25">
      <c r="A20" s="43"/>
      <c r="B20" s="45"/>
      <c r="C20" s="45"/>
      <c r="D20" s="47"/>
      <c r="E20" s="22" t="s">
        <v>17</v>
      </c>
      <c r="F20" s="57">
        <v>6.5</v>
      </c>
      <c r="G20" s="57">
        <v>7.38</v>
      </c>
      <c r="H20" s="58">
        <v>9.98</v>
      </c>
      <c r="I20" s="33"/>
      <c r="J20" s="5"/>
      <c r="K20" s="5"/>
      <c r="L20" s="5"/>
      <c r="M20" s="5"/>
      <c r="N20" s="5"/>
    </row>
    <row r="21" spans="1:14" ht="15.75" x14ac:dyDescent="0.25">
      <c r="A21" s="34" t="s">
        <v>46</v>
      </c>
      <c r="B21" s="36" t="s">
        <v>47</v>
      </c>
      <c r="C21" s="36" t="s">
        <v>12</v>
      </c>
      <c r="D21" s="38">
        <v>1</v>
      </c>
      <c r="E21" s="23" t="s">
        <v>13</v>
      </c>
      <c r="F21" s="67" t="s">
        <v>48</v>
      </c>
      <c r="G21" s="67" t="s">
        <v>49</v>
      </c>
      <c r="H21" s="60" t="s">
        <v>50</v>
      </c>
      <c r="I21" s="40">
        <f>AVERAGE(F22:H22)</f>
        <v>52.893333333333338</v>
      </c>
      <c r="J21" s="5"/>
      <c r="K21" s="5"/>
      <c r="L21" s="5"/>
      <c r="M21" s="5"/>
      <c r="N21" s="5"/>
    </row>
    <row r="22" spans="1:14" ht="15.75" x14ac:dyDescent="0.25">
      <c r="A22" s="48"/>
      <c r="B22" s="49"/>
      <c r="C22" s="49"/>
      <c r="D22" s="50"/>
      <c r="E22" s="24" t="s">
        <v>17</v>
      </c>
      <c r="F22" s="68">
        <v>49.89</v>
      </c>
      <c r="G22" s="68">
        <v>58.89</v>
      </c>
      <c r="H22" s="62">
        <v>49.9</v>
      </c>
      <c r="I22" s="41"/>
      <c r="J22" s="5"/>
      <c r="K22" s="5"/>
      <c r="L22" s="5"/>
      <c r="M22" s="5"/>
      <c r="N22" s="5"/>
    </row>
    <row r="23" spans="1:14" ht="15.75" x14ac:dyDescent="0.25">
      <c r="A23" s="42" t="s">
        <v>51</v>
      </c>
      <c r="B23" s="44" t="s">
        <v>47</v>
      </c>
      <c r="C23" s="44" t="s">
        <v>12</v>
      </c>
      <c r="D23" s="46">
        <v>1</v>
      </c>
      <c r="E23" s="21" t="s">
        <v>13</v>
      </c>
      <c r="F23" s="69" t="s">
        <v>52</v>
      </c>
      <c r="G23" s="69" t="s">
        <v>53</v>
      </c>
      <c r="H23" s="63" t="s">
        <v>54</v>
      </c>
      <c r="I23" s="32">
        <f>AVERAGE(F24:H24)</f>
        <v>11.456666666666669</v>
      </c>
      <c r="J23" s="5"/>
      <c r="K23" s="5"/>
      <c r="L23" s="5"/>
      <c r="M23" s="5"/>
      <c r="N23" s="5"/>
    </row>
    <row r="24" spans="1:14" ht="15.75" x14ac:dyDescent="0.25">
      <c r="A24" s="43"/>
      <c r="B24" s="45"/>
      <c r="C24" s="45"/>
      <c r="D24" s="47"/>
      <c r="E24" s="22" t="s">
        <v>17</v>
      </c>
      <c r="F24" s="70">
        <v>10.29</v>
      </c>
      <c r="G24" s="70">
        <v>12.99</v>
      </c>
      <c r="H24" s="64">
        <v>11.09</v>
      </c>
      <c r="I24" s="33"/>
      <c r="J24" s="5"/>
      <c r="K24" s="5"/>
      <c r="L24" s="5"/>
      <c r="M24" s="5"/>
      <c r="N24" s="5"/>
    </row>
    <row r="25" spans="1:14" ht="15.75" x14ac:dyDescent="0.25">
      <c r="A25" s="34" t="s">
        <v>55</v>
      </c>
      <c r="B25" s="36" t="s">
        <v>47</v>
      </c>
      <c r="C25" s="36" t="s">
        <v>12</v>
      </c>
      <c r="D25" s="38">
        <v>1</v>
      </c>
      <c r="E25" s="23" t="s">
        <v>13</v>
      </c>
      <c r="F25" s="59" t="s">
        <v>56</v>
      </c>
      <c r="G25" s="59" t="s">
        <v>57</v>
      </c>
      <c r="H25" s="65" t="s">
        <v>58</v>
      </c>
      <c r="I25" s="40">
        <f>AVERAGE(F26:H26)</f>
        <v>3.813333333333333</v>
      </c>
      <c r="J25" s="5"/>
      <c r="K25" s="5"/>
      <c r="L25" s="5"/>
      <c r="M25" s="5"/>
      <c r="N25" s="5"/>
    </row>
    <row r="26" spans="1:14" ht="15.75" x14ac:dyDescent="0.25">
      <c r="A26" s="48"/>
      <c r="B26" s="49"/>
      <c r="C26" s="49"/>
      <c r="D26" s="50"/>
      <c r="E26" s="24" t="s">
        <v>17</v>
      </c>
      <c r="F26" s="61">
        <v>3.48</v>
      </c>
      <c r="G26" s="61">
        <v>3.98</v>
      </c>
      <c r="H26" s="66">
        <v>3.98</v>
      </c>
      <c r="I26" s="41"/>
      <c r="J26" s="5"/>
      <c r="K26" s="5"/>
      <c r="L26" s="5"/>
      <c r="M26" s="5"/>
      <c r="N26" s="5"/>
    </row>
    <row r="27" spans="1:14" ht="15.75" x14ac:dyDescent="0.25">
      <c r="A27" s="26" t="s">
        <v>59</v>
      </c>
      <c r="B27" s="28" t="s">
        <v>47</v>
      </c>
      <c r="C27" s="28" t="s">
        <v>12</v>
      </c>
      <c r="D27" s="30">
        <v>1</v>
      </c>
      <c r="E27" s="21" t="s">
        <v>13</v>
      </c>
      <c r="F27" s="55" t="s">
        <v>60</v>
      </c>
      <c r="G27" s="69" t="s">
        <v>61</v>
      </c>
      <c r="H27" s="63" t="s">
        <v>62</v>
      </c>
      <c r="I27" s="32">
        <f>AVERAGE(F28:H28)</f>
        <v>10.316666666666668</v>
      </c>
      <c r="J27" s="5"/>
      <c r="K27" s="5"/>
      <c r="L27" s="5"/>
      <c r="M27" s="5"/>
      <c r="N27" s="5"/>
    </row>
    <row r="28" spans="1:14" ht="15.75" x14ac:dyDescent="0.25">
      <c r="A28" s="27"/>
      <c r="B28" s="29"/>
      <c r="C28" s="29"/>
      <c r="D28" s="31"/>
      <c r="E28" s="22" t="s">
        <v>17</v>
      </c>
      <c r="F28" s="57">
        <v>9.98</v>
      </c>
      <c r="G28" s="70">
        <v>9.98</v>
      </c>
      <c r="H28" s="64">
        <v>10.99</v>
      </c>
      <c r="I28" s="33"/>
      <c r="J28" s="5"/>
      <c r="K28" s="5"/>
      <c r="L28" s="5"/>
      <c r="M28" s="5"/>
      <c r="N28" s="5"/>
    </row>
    <row r="29" spans="1:14" ht="15.75" x14ac:dyDescent="0.25">
      <c r="A29" s="34" t="s">
        <v>63</v>
      </c>
      <c r="B29" s="36" t="s">
        <v>64</v>
      </c>
      <c r="C29" s="36" t="s">
        <v>42</v>
      </c>
      <c r="D29" s="38">
        <v>1</v>
      </c>
      <c r="E29" s="23" t="s">
        <v>13</v>
      </c>
      <c r="F29" s="59" t="s">
        <v>65</v>
      </c>
      <c r="G29" s="67" t="s">
        <v>66</v>
      </c>
      <c r="H29" s="60" t="s">
        <v>67</v>
      </c>
      <c r="I29" s="40">
        <f>AVERAGE(F30:H30)</f>
        <v>3.7233333333333332</v>
      </c>
      <c r="J29" s="5"/>
      <c r="K29" s="5"/>
      <c r="L29" s="5"/>
      <c r="M29" s="5"/>
      <c r="N29" s="5"/>
    </row>
    <row r="30" spans="1:14" ht="15.75" x14ac:dyDescent="0.25">
      <c r="A30" s="35"/>
      <c r="B30" s="37"/>
      <c r="C30" s="37"/>
      <c r="D30" s="39"/>
      <c r="E30" s="22" t="s">
        <v>17</v>
      </c>
      <c r="F30" s="71">
        <v>4.29</v>
      </c>
      <c r="G30" s="70">
        <v>3.59</v>
      </c>
      <c r="H30" s="64">
        <v>3.29</v>
      </c>
      <c r="I30" s="41"/>
      <c r="J30" s="5"/>
      <c r="K30" s="5"/>
      <c r="L30" s="5"/>
      <c r="M30" s="5"/>
      <c r="N30" s="5"/>
    </row>
    <row r="31" spans="1:14" ht="15.75" x14ac:dyDescent="0.25">
      <c r="A31" s="26" t="s">
        <v>68</v>
      </c>
      <c r="B31" s="28" t="s">
        <v>47</v>
      </c>
      <c r="C31" s="28" t="s">
        <v>12</v>
      </c>
      <c r="D31" s="30">
        <v>1</v>
      </c>
      <c r="E31" s="21" t="s">
        <v>13</v>
      </c>
      <c r="F31" s="55" t="s">
        <v>69</v>
      </c>
      <c r="G31" s="55" t="s">
        <v>70</v>
      </c>
      <c r="H31" s="56" t="s">
        <v>71</v>
      </c>
      <c r="I31" s="32">
        <f>AVERAGE(F32:H32)</f>
        <v>6.2833333333333341</v>
      </c>
      <c r="J31" s="5"/>
      <c r="K31" s="5"/>
      <c r="L31" s="5"/>
      <c r="M31" s="5"/>
      <c r="N31" s="5"/>
    </row>
    <row r="32" spans="1:14" ht="15.75" x14ac:dyDescent="0.25">
      <c r="A32" s="27"/>
      <c r="B32" s="29"/>
      <c r="C32" s="29"/>
      <c r="D32" s="31"/>
      <c r="E32" s="22" t="s">
        <v>17</v>
      </c>
      <c r="F32" s="57">
        <v>5.48</v>
      </c>
      <c r="G32" s="57">
        <v>6.89</v>
      </c>
      <c r="H32" s="58">
        <v>6.48</v>
      </c>
      <c r="I32" s="33"/>
      <c r="J32" s="5"/>
      <c r="K32" s="5"/>
      <c r="L32" s="5"/>
      <c r="M32" s="5"/>
      <c r="N32" s="5"/>
    </row>
    <row r="33" spans="1:14" ht="15.75" x14ac:dyDescent="0.25">
      <c r="A33" s="5"/>
      <c r="B33" s="5"/>
      <c r="C33" s="5"/>
      <c r="D33" s="5"/>
      <c r="E33" s="25"/>
      <c r="F33" s="5"/>
      <c r="G33" s="5"/>
      <c r="H33" s="5"/>
      <c r="I33" s="5"/>
      <c r="J33" s="5"/>
      <c r="K33" s="5"/>
      <c r="L33" s="5"/>
      <c r="M33" s="5"/>
      <c r="N33" s="5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2026-05-18T03:31:48Z</dcterms:created>
  <dcterms:modified xsi:type="dcterms:W3CDTF">2026-05-25T23:03:38Z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2026-05-18T03:32:09Z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bc96bb23-c0c8-4974-a2f4-a0bc3bd4ec5d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