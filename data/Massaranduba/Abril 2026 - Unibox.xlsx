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Massaranduba/"/>
    </mc:Choice>
  </mc:AlternateContent>
  <xr:revisionPtr revIDLastSave="15" documentId="8_{4D76A414-1D20-4010-943A-717A65C20078}" xr6:coauthVersionLast="47" xr6:coauthVersionMax="47" xr10:uidLastSave="{B4F37BEE-F68A-4102-83FD-ED81F1AA0196}"/>
  <bookViews>
    <workbookView xWindow="-120" yWindow="-120" windowWidth="24240" windowHeight="13020" xr2:uid="{F1C98A7B-5B1A-4A16-89CA-2B2AD300A408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1" i="1"/>
  <c r="I13" i="1"/>
  <c r="I15" i="1"/>
  <c r="I17" i="1"/>
  <c r="I19" i="1"/>
  <c r="I21" i="1"/>
  <c r="I23" i="1"/>
  <c r="I25" i="1"/>
  <c r="I27" i="1"/>
  <c r="I29" i="1"/>
  <c r="I31" i="1"/>
  <c r="I7" i="1"/>
</calcChain>
</file>

<file path=xl/sharedStrings.xml><?xml version="1.0" encoding="utf-8"?>
<sst xmlns="http://schemas.openxmlformats.org/spreadsheetml/2006/main" count="105" uniqueCount="61">
  <si>
    <t>MERCADO</t>
  </si>
  <si>
    <t>Unibox</t>
  </si>
  <si>
    <t>DATA</t>
  </si>
  <si>
    <t>Abril/2026</t>
  </si>
  <si>
    <t>Produto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</si>
  <si>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</si>
  <si>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</si>
  <si>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</si>
  <si>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</si>
  <si>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</si>
  <si>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</si>
  <si>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</si>
  <si>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</si>
  <si>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Safra</t>
  </si>
  <si>
    <t>Buriti</t>
  </si>
  <si>
    <t>Urbano</t>
  </si>
  <si>
    <t>Preço</t>
  </si>
  <si>
    <t>Açucar Refinado</t>
  </si>
  <si>
    <t>Alto Alegre</t>
  </si>
  <si>
    <t>Caravelas</t>
  </si>
  <si>
    <t>Barra</t>
  </si>
  <si>
    <t>Café em pó</t>
  </si>
  <si>
    <t>3 corações</t>
  </si>
  <si>
    <t>Pilão</t>
  </si>
  <si>
    <t>Melitta</t>
  </si>
  <si>
    <t>Farinha de Trigo</t>
  </si>
  <si>
    <t xml:space="preserve">Marca </t>
  </si>
  <si>
    <t>Rosa Branca</t>
  </si>
  <si>
    <t>Dona Benta</t>
  </si>
  <si>
    <t>Venturelli</t>
  </si>
  <si>
    <t>Feijão Preto</t>
  </si>
  <si>
    <t>Caldão</t>
  </si>
  <si>
    <t>Pachá</t>
  </si>
  <si>
    <t>Manteiga</t>
  </si>
  <si>
    <t>Pote</t>
  </si>
  <si>
    <t>Frimesa</t>
  </si>
  <si>
    <t>Piracanjuba</t>
  </si>
  <si>
    <t>Doriana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</si>
  <si>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</si>
  <si>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</si>
  <si>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</si>
  <si>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</si>
  <si>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</si>
  <si>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</si>
  <si>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</si>
  <si>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</si>
  <si>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</si>
  <si>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Coxão Duro</t>
  </si>
  <si>
    <t>Coxão Mole</t>
  </si>
  <si>
    <t>Pão Francês</t>
  </si>
  <si>
    <t>Pão</t>
  </si>
  <si>
    <t>Batata</t>
  </si>
  <si>
    <t>Lavada</t>
  </si>
  <si>
    <t>Tomate</t>
  </si>
  <si>
    <t>Leite</t>
  </si>
  <si>
    <t>Caixa</t>
  </si>
  <si>
    <t>Tirol</t>
  </si>
  <si>
    <t>Italac</t>
  </si>
  <si>
    <t>Batavo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</si>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</sst>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 wrapText="1"/>
    </xf>
    <xf numFmtId="0" fontId="1" fillId="0" borderId="20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/>
    </xf>
    <xf numFmtId="0" fontId="1" fillId="0" borderId="31" xfId="0" applyNumberFormat="1" applyFont="1" applyBorder="1" applyAlignment="1">
      <alignment horizontal="center" vertical="center"/>
    </xf>
    <xf numFmtId="0" fontId="1" fillId="5" borderId="27" xfId="0" applyNumberFormat="1" applyFont="1" applyFill="1" applyBorder="1" applyAlignment="1">
      <alignment horizontal="center" vertical="center" wrapText="1"/>
    </xf>
    <xf numFmtId="0" fontId="1" fillId="5" borderId="28" xfId="0" applyNumberFormat="1" applyFont="1" applyFill="1" applyBorder="1" applyAlignment="1">
      <alignment horizontal="center" vertical="center"/>
    </xf>
    <xf numFmtId="0" fontId="1" fillId="5" borderId="26" xfId="0" applyNumberFormat="1" applyFont="1" applyFill="1" applyBorder="1" applyAlignment="1">
      <alignment horizontal="center" vertical="center"/>
    </xf>
    <xf numFmtId="0" fontId="1" fillId="5" borderId="29" xfId="0" applyNumberFormat="1" applyFont="1" applyFill="1" applyBorder="1" applyAlignment="1">
      <alignment horizontal="center" vertical="center"/>
    </xf>
    <xf numFmtId="0" fontId="1" fillId="5" borderId="27" xfId="0" applyNumberFormat="1" applyFont="1" applyFill="1" applyBorder="1" applyAlignment="1">
      <alignment horizontal="center" vertical="center"/>
    </xf>
    <xf numFmtId="0" fontId="1" fillId="5" borderId="28" xfId="0" applyNumberFormat="1" applyFont="1" applyFill="1" applyBorder="1" applyAlignment="1">
      <alignment horizontal="center" vertical="center" wrapText="1"/>
    </xf>
    <xf numFmtId="0" fontId="1" fillId="5" borderId="23" xfId="0" applyNumberFormat="1" applyFont="1" applyFill="1" applyBorder="1" applyAlignment="1">
      <alignment horizontal="center" vertical="center"/>
    </xf>
    <xf numFmtId="0" fontId="1" fillId="5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EA06-2FD7-4178-9556-49B5544534D3}">
  <dimension ref="A1:I32"/>
  <sheetViews>
    <sheetView tabSelected="1" topLeftCell="A2" workbookViewId="0">
      <selection activeCell="F7" sqref="F7:I32"/>
    </sheetView>
  </sheetViews>
  <sheetFormatPr defaultRowHeight="15" x14ac:dyDescent="0.25"/>
  <cols>
    <col min="1" max="1" width="20.5703125" customWidth="1"/>
    <col min="2" max="2" width="12.42578125" customWidth="1"/>
    <col min="3" max="3" width="11.28515625" customWidth="1"/>
    <col min="4" max="4" width="16" customWidth="1"/>
    <col min="5" max="5" width="12.140625" customWidth="1"/>
    <col min="6" max="6" width="13.140625" customWidth="1"/>
    <col min="7" max="7" width="14.42578125" customWidth="1"/>
    <col min="8" max="8" width="13.28515625" customWidth="1"/>
    <col min="9" max="9" width="15.42578125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thickBot="1" x14ac:dyDescent="0.3">
      <c r="A5" s="13" t="s">
        <v>0</v>
      </c>
      <c r="B5" s="24" t="s">
        <v>1</v>
      </c>
      <c r="C5" s="24"/>
      <c r="D5" s="14" t="s">
        <v>2</v>
      </c>
      <c r="E5" s="25" t="s">
        <v>3</v>
      </c>
      <c r="F5" s="25"/>
      <c r="G5" s="25"/>
      <c r="H5" s="15"/>
      <c r="I5" s="16"/>
    </row>
    <row r="6" spans="1:9" ht="16.5" thickBot="1" x14ac:dyDescent="0.3">
      <c r="A6" s="17" t="s">
        <v>4</v>
      </c>
      <c r="B6" s="18"/>
      <c r="C6" s="18" t="s">
        <v>5</v>
      </c>
      <c r="D6" s="18" t="s">
        <v>6</v>
      </c>
      <c r="E6" s="26" t="s">
        <v>7</v>
      </c>
      <c r="F6" s="27"/>
      <c r="G6" s="27"/>
      <c r="H6" s="28"/>
      <c r="I6" s="19" t="s">
        <v>8</v>
      </c>
    </row>
    <row r="7" spans="1:9" ht="15.75" x14ac:dyDescent="0.25">
      <c r="A7" s="29" t="s">
        <v>9</v>
      </c>
      <c r="B7" s="31" t="s">
        <v>10</v>
      </c>
      <c r="C7" s="31" t="s">
        <v>11</v>
      </c>
      <c r="D7" s="31">
        <v>1</v>
      </c>
      <c r="E7" s="20" t="s">
        <v>12</v>
      </c>
      <c r="F7" s="41" t="s">
        <v>13</v>
      </c>
      <c r="G7" s="42" t="s">
        <v>14</v>
      </c>
      <c r="H7" s="43" t="s">
        <v>15</v>
      </c>
      <c r="I7" s="44">
        <f>AVERAGE(F8:H8)</f>
        <v>3.4299999999999997</v>
      </c>
    </row>
    <row r="8" spans="1:9" ht="15.75" x14ac:dyDescent="0.25">
      <c r="A8" s="30"/>
      <c r="B8" s="32"/>
      <c r="C8" s="32"/>
      <c r="D8" s="32"/>
      <c r="E8" s="21" t="s">
        <v>16</v>
      </c>
      <c r="F8" s="45">
        <v>3.32</v>
      </c>
      <c r="G8" s="45">
        <v>3.45</v>
      </c>
      <c r="H8" s="46">
        <v>3.52</v>
      </c>
      <c r="I8" s="47"/>
    </row>
    <row r="9" spans="1:9" ht="31.5" x14ac:dyDescent="0.25">
      <c r="A9" s="33" t="s">
        <v>17</v>
      </c>
      <c r="B9" s="35" t="s">
        <v>10</v>
      </c>
      <c r="C9" s="35" t="s">
        <v>11</v>
      </c>
      <c r="D9" s="35">
        <v>1</v>
      </c>
      <c r="E9" s="22" t="s">
        <v>12</v>
      </c>
      <c r="F9" s="48" t="s">
        <v>18</v>
      </c>
      <c r="G9" s="48" t="s">
        <v>19</v>
      </c>
      <c r="H9" s="49" t="s">
        <v>20</v>
      </c>
      <c r="I9" s="44">
        <f t="shared" ref="I9" si="0">AVERAGE(F10:H10)</f>
        <v>3.7099999999999995</v>
      </c>
    </row>
    <row r="10" spans="1:9" ht="15.75" x14ac:dyDescent="0.25">
      <c r="A10" s="34"/>
      <c r="B10" s="36"/>
      <c r="C10" s="36"/>
      <c r="D10" s="36"/>
      <c r="E10" s="23" t="s">
        <v>16</v>
      </c>
      <c r="F10" s="50">
        <v>3.7</v>
      </c>
      <c r="G10" s="50">
        <v>3.63</v>
      </c>
      <c r="H10" s="51">
        <v>3.8</v>
      </c>
      <c r="I10" s="47"/>
    </row>
    <row r="11" spans="1:9" ht="15.75" x14ac:dyDescent="0.25">
      <c r="A11" s="29" t="s">
        <v>21</v>
      </c>
      <c r="B11" s="31" t="s">
        <v>10</v>
      </c>
      <c r="C11" s="31" t="s">
        <v>11</v>
      </c>
      <c r="D11" s="31">
        <v>0.5</v>
      </c>
      <c r="E11" s="20" t="s">
        <v>12</v>
      </c>
      <c r="F11" s="41" t="s">
        <v>22</v>
      </c>
      <c r="G11" s="42" t="s">
        <v>23</v>
      </c>
      <c r="H11" s="43" t="s">
        <v>24</v>
      </c>
      <c r="I11" s="44">
        <f t="shared" ref="I11" si="1">AVERAGE(F12:H12)</f>
        <v>29.599999999999998</v>
      </c>
    </row>
    <row r="12" spans="1:9" ht="15.75" x14ac:dyDescent="0.25">
      <c r="A12" s="30"/>
      <c r="B12" s="32"/>
      <c r="C12" s="32"/>
      <c r="D12" s="32"/>
      <c r="E12" s="21" t="s">
        <v>16</v>
      </c>
      <c r="F12" s="45">
        <v>26.8</v>
      </c>
      <c r="G12" s="45">
        <v>28.7</v>
      </c>
      <c r="H12" s="46">
        <v>33.299999999999997</v>
      </c>
      <c r="I12" s="47"/>
    </row>
    <row r="13" spans="1:9" ht="31.5" x14ac:dyDescent="0.25">
      <c r="A13" s="33" t="s">
        <v>25</v>
      </c>
      <c r="B13" s="35" t="s">
        <v>10</v>
      </c>
      <c r="C13" s="35" t="s">
        <v>11</v>
      </c>
      <c r="D13" s="35">
        <v>1</v>
      </c>
      <c r="E13" s="22" t="s">
        <v>26</v>
      </c>
      <c r="F13" s="48" t="s">
        <v>27</v>
      </c>
      <c r="G13" s="48" t="s">
        <v>28</v>
      </c>
      <c r="H13" s="49" t="s">
        <v>29</v>
      </c>
      <c r="I13" s="44">
        <f t="shared" ref="I13" si="2">AVERAGE(F14:H14)</f>
        <v>3.7166666666666663</v>
      </c>
    </row>
    <row r="14" spans="1:9" ht="15.75" x14ac:dyDescent="0.25">
      <c r="A14" s="34"/>
      <c r="B14" s="36"/>
      <c r="C14" s="36"/>
      <c r="D14" s="36"/>
      <c r="E14" s="23" t="s">
        <v>16</v>
      </c>
      <c r="F14" s="50">
        <v>3.2</v>
      </c>
      <c r="G14" s="50">
        <v>3.4</v>
      </c>
      <c r="H14" s="51">
        <v>4.55</v>
      </c>
      <c r="I14" s="47"/>
    </row>
    <row r="15" spans="1:9" ht="15.75" x14ac:dyDescent="0.25">
      <c r="A15" s="29" t="s">
        <v>30</v>
      </c>
      <c r="B15" s="31" t="s">
        <v>10</v>
      </c>
      <c r="C15" s="31" t="s">
        <v>11</v>
      </c>
      <c r="D15" s="31">
        <v>1</v>
      </c>
      <c r="E15" s="20" t="s">
        <v>12</v>
      </c>
      <c r="F15" s="42" t="s">
        <v>31</v>
      </c>
      <c r="G15" s="42" t="s">
        <v>32</v>
      </c>
      <c r="H15" s="43" t="s">
        <v>15</v>
      </c>
      <c r="I15" s="44">
        <f t="shared" ref="I15" si="3">AVERAGE(F16:H16)</f>
        <v>4.95</v>
      </c>
    </row>
    <row r="16" spans="1:9" ht="15.75" x14ac:dyDescent="0.25">
      <c r="A16" s="30"/>
      <c r="B16" s="32"/>
      <c r="C16" s="32"/>
      <c r="D16" s="32"/>
      <c r="E16" s="21" t="s">
        <v>16</v>
      </c>
      <c r="F16" s="45">
        <v>4.4800000000000004</v>
      </c>
      <c r="G16" s="45">
        <v>4.5</v>
      </c>
      <c r="H16" s="46">
        <v>5.87</v>
      </c>
      <c r="I16" s="47"/>
    </row>
    <row r="17" spans="1:9" ht="31.5" x14ac:dyDescent="0.25">
      <c r="A17" s="33" t="s">
        <v>33</v>
      </c>
      <c r="B17" s="35" t="s">
        <v>34</v>
      </c>
      <c r="C17" s="35" t="s">
        <v>11</v>
      </c>
      <c r="D17" s="35">
        <v>0.5</v>
      </c>
      <c r="E17" s="22" t="s">
        <v>12</v>
      </c>
      <c r="F17" s="52" t="s">
        <v>35</v>
      </c>
      <c r="G17" s="48" t="s">
        <v>36</v>
      </c>
      <c r="H17" s="49" t="s">
        <v>37</v>
      </c>
      <c r="I17" s="44">
        <f t="shared" ref="I17" si="4">AVERAGE(F18:H18)</f>
        <v>24.099999999999998</v>
      </c>
    </row>
    <row r="18" spans="1:9" ht="15.75" x14ac:dyDescent="0.25">
      <c r="A18" s="34"/>
      <c r="B18" s="36"/>
      <c r="C18" s="36"/>
      <c r="D18" s="36"/>
      <c r="E18" s="23" t="s">
        <v>16</v>
      </c>
      <c r="F18" s="50">
        <v>28</v>
      </c>
      <c r="G18" s="50">
        <v>24</v>
      </c>
      <c r="H18" s="51">
        <v>20.3</v>
      </c>
      <c r="I18" s="47"/>
    </row>
    <row r="19" spans="1:9" ht="15.75" x14ac:dyDescent="0.25">
      <c r="A19" s="29" t="s">
        <v>38</v>
      </c>
      <c r="B19" s="31" t="s">
        <v>39</v>
      </c>
      <c r="C19" s="31" t="s">
        <v>40</v>
      </c>
      <c r="D19" s="31">
        <v>0.9</v>
      </c>
      <c r="E19" s="20" t="s">
        <v>12</v>
      </c>
      <c r="F19" s="42" t="s">
        <v>41</v>
      </c>
      <c r="G19" s="42" t="s">
        <v>42</v>
      </c>
      <c r="H19" s="43" t="s">
        <v>43</v>
      </c>
      <c r="I19" s="44">
        <f t="shared" ref="I19" si="5">AVERAGE(F20:H20)</f>
        <v>6.9333333333333336</v>
      </c>
    </row>
    <row r="20" spans="1:9" ht="15.75" x14ac:dyDescent="0.25">
      <c r="A20" s="30"/>
      <c r="B20" s="32"/>
      <c r="C20" s="32"/>
      <c r="D20" s="32"/>
      <c r="E20" s="21" t="s">
        <v>16</v>
      </c>
      <c r="F20" s="45">
        <v>6</v>
      </c>
      <c r="G20" s="45">
        <v>7.1</v>
      </c>
      <c r="H20" s="46">
        <v>7.7</v>
      </c>
      <c r="I20" s="47"/>
    </row>
    <row r="21" spans="1:9" ht="31.5" x14ac:dyDescent="0.25">
      <c r="A21" s="33" t="s">
        <v>44</v>
      </c>
      <c r="B21" s="35" t="s">
        <v>45</v>
      </c>
      <c r="C21" s="35" t="s">
        <v>11</v>
      </c>
      <c r="D21" s="35">
        <v>1</v>
      </c>
      <c r="E21" s="22" t="s">
        <v>12</v>
      </c>
      <c r="F21" s="52" t="s">
        <v>46</v>
      </c>
      <c r="G21" s="48" t="s">
        <v>47</v>
      </c>
      <c r="H21" s="53" t="s">
        <v>48</v>
      </c>
      <c r="I21" s="44">
        <f t="shared" ref="I21" si="6">AVERAGE(F22:H22)</f>
        <v>43.933333333333337</v>
      </c>
    </row>
    <row r="22" spans="1:9" ht="15.75" x14ac:dyDescent="0.25">
      <c r="A22" s="34"/>
      <c r="B22" s="36"/>
      <c r="C22" s="36"/>
      <c r="D22" s="36"/>
      <c r="E22" s="23" t="s">
        <v>16</v>
      </c>
      <c r="F22" s="50">
        <v>48</v>
      </c>
      <c r="G22" s="50">
        <v>43.9</v>
      </c>
      <c r="H22" s="51">
        <v>39.9</v>
      </c>
      <c r="I22" s="47"/>
    </row>
    <row r="23" spans="1:9" ht="15.75" x14ac:dyDescent="0.25">
      <c r="A23" s="29" t="s">
        <v>49</v>
      </c>
      <c r="B23" s="31" t="s">
        <v>45</v>
      </c>
      <c r="C23" s="31" t="s">
        <v>11</v>
      </c>
      <c r="D23" s="31">
        <v>1</v>
      </c>
      <c r="E23" s="20" t="s">
        <v>12</v>
      </c>
      <c r="F23" s="42" t="s">
        <v>50</v>
      </c>
      <c r="G23" s="42"/>
      <c r="H23" s="43"/>
      <c r="I23" s="44">
        <f t="shared" ref="I23" si="7">AVERAGE(F24:H24)</f>
        <v>14.5</v>
      </c>
    </row>
    <row r="24" spans="1:9" ht="15.75" x14ac:dyDescent="0.25">
      <c r="A24" s="30"/>
      <c r="B24" s="32"/>
      <c r="C24" s="32"/>
      <c r="D24" s="32"/>
      <c r="E24" s="21" t="s">
        <v>16</v>
      </c>
      <c r="F24" s="45">
        <v>14.5</v>
      </c>
      <c r="G24" s="45"/>
      <c r="H24" s="46"/>
      <c r="I24" s="47"/>
    </row>
    <row r="25" spans="1:9" ht="15.75" x14ac:dyDescent="0.25">
      <c r="A25" s="33" t="s">
        <v>51</v>
      </c>
      <c r="B25" s="35" t="s">
        <v>45</v>
      </c>
      <c r="C25" s="35" t="s">
        <v>11</v>
      </c>
      <c r="D25" s="35">
        <v>1</v>
      </c>
      <c r="E25" s="22" t="s">
        <v>12</v>
      </c>
      <c r="F25" s="52" t="s">
        <v>52</v>
      </c>
      <c r="G25" s="52"/>
      <c r="H25" s="49"/>
      <c r="I25" s="44">
        <f t="shared" ref="I25" si="8">AVERAGE(F26:H26)</f>
        <v>4</v>
      </c>
    </row>
    <row r="26" spans="1:9" ht="15.75" x14ac:dyDescent="0.25">
      <c r="A26" s="34"/>
      <c r="B26" s="36"/>
      <c r="C26" s="36"/>
      <c r="D26" s="36"/>
      <c r="E26" s="23" t="s">
        <v>16</v>
      </c>
      <c r="F26" s="50">
        <v>4</v>
      </c>
      <c r="G26" s="50"/>
      <c r="H26" s="51"/>
      <c r="I26" s="47"/>
    </row>
    <row r="27" spans="1:9" ht="15.75" x14ac:dyDescent="0.25">
      <c r="A27" s="29" t="s">
        <v>53</v>
      </c>
      <c r="B27" s="31" t="s">
        <v>45</v>
      </c>
      <c r="C27" s="31" t="s">
        <v>11</v>
      </c>
      <c r="D27" s="31">
        <v>1</v>
      </c>
      <c r="E27" s="20" t="s">
        <v>12</v>
      </c>
      <c r="F27" s="42" t="s">
        <v>53</v>
      </c>
      <c r="G27" s="42"/>
      <c r="H27" s="43"/>
      <c r="I27" s="44">
        <f t="shared" ref="I27" si="9">AVERAGE(F28:H28)</f>
        <v>8.1</v>
      </c>
    </row>
    <row r="28" spans="1:9" ht="15.75" x14ac:dyDescent="0.25">
      <c r="A28" s="39"/>
      <c r="B28" s="40"/>
      <c r="C28" s="40"/>
      <c r="D28" s="40"/>
      <c r="E28" s="21" t="s">
        <v>16</v>
      </c>
      <c r="F28" s="45">
        <v>8.1</v>
      </c>
      <c r="G28" s="45"/>
      <c r="H28" s="46"/>
      <c r="I28" s="47"/>
    </row>
    <row r="29" spans="1:9" ht="15.75" x14ac:dyDescent="0.25">
      <c r="A29" s="37" t="s">
        <v>54</v>
      </c>
      <c r="B29" s="38" t="s">
        <v>55</v>
      </c>
      <c r="C29" s="38" t="s">
        <v>40</v>
      </c>
      <c r="D29" s="38">
        <v>1</v>
      </c>
      <c r="E29" s="22" t="s">
        <v>12</v>
      </c>
      <c r="F29" s="52" t="s">
        <v>56</v>
      </c>
      <c r="G29" s="52" t="s">
        <v>57</v>
      </c>
      <c r="H29" s="49" t="s">
        <v>58</v>
      </c>
      <c r="I29" s="44">
        <f t="shared" ref="I29" si="10">AVERAGE(F30:H30)</f>
        <v>3.9666666666666663</v>
      </c>
    </row>
    <row r="30" spans="1:9" ht="15.75" x14ac:dyDescent="0.25">
      <c r="A30" s="34"/>
      <c r="B30" s="36"/>
      <c r="C30" s="36"/>
      <c r="D30" s="36"/>
      <c r="E30" s="21" t="s">
        <v>16</v>
      </c>
      <c r="F30" s="54">
        <v>4.3</v>
      </c>
      <c r="G30" s="54">
        <v>3.9</v>
      </c>
      <c r="H30" s="55">
        <v>3.7</v>
      </c>
      <c r="I30" s="47"/>
    </row>
    <row r="31" spans="1:9" ht="15.75" x14ac:dyDescent="0.25">
      <c r="A31" s="29" t="s">
        <v>59</v>
      </c>
      <c r="B31" s="31" t="s">
        <v>45</v>
      </c>
      <c r="C31" s="31" t="s">
        <v>11</v>
      </c>
      <c r="D31" s="31">
        <v>1</v>
      </c>
      <c r="E31" s="20" t="s">
        <v>12</v>
      </c>
      <c r="F31" s="42" t="s">
        <v>60</v>
      </c>
      <c r="G31" s="42"/>
      <c r="H31" s="43"/>
      <c r="I31" s="44">
        <f t="shared" ref="I31" si="11">AVERAGE(F32:H32)</f>
        <v>6.3</v>
      </c>
    </row>
    <row r="32" spans="1:9" ht="15.75" x14ac:dyDescent="0.25">
      <c r="A32" s="39"/>
      <c r="B32" s="40"/>
      <c r="C32" s="40"/>
      <c r="D32" s="40"/>
      <c r="E32" s="21" t="s">
        <v>16</v>
      </c>
      <c r="F32" s="45">
        <v>6.3</v>
      </c>
      <c r="G32" s="45"/>
      <c r="H32" s="46"/>
      <c r="I32" s="47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Ziehlsdorff, Joana</dc:creator>
  <cp:keywords/>
  <dc:description/>
  <cp:lastModifiedBy>Bruno Thiago Tomio</cp:lastModifiedBy>
  <cp:revision/>
  <dcterms:created xsi:type="dcterms:W3CDTF">2026-05-07T19:26:02Z</dcterms:created>
  <dcterms:modified xsi:type="dcterms:W3CDTF">2026-05-25T23:48:40Z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2026-05-18T03:40:17Z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9c8c3536-f9cf-4796-bf63-6f58d84a1ab3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