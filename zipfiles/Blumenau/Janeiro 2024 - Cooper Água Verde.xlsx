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enzod\OneDrive\FURB\"/>
    </mc:Choice>
  </mc:AlternateContent>
  <xr:revisionPtr revIDLastSave="0" documentId="8_{A3B43DDC-0D1A-4A17-8B94-9701AE6C1226}" xr6:coauthVersionLast="47" xr6:coauthVersionMax="47" xr10:uidLastSave="{00000000-0000-0000-0000-000000000000}"/>
  <bookViews>
    <workbookView xWindow="-108" yWindow="-108" windowWidth="23256" windowHeight="12576" firstSheet="5" activeTab="7" xr2:uid="{00000000-000D-0000-FFFF-FFFF00000000}"/>
  </bookViews>
  <sheets>
    <sheet name="Dados" sheetId="1" r:id="rId1"/>
    <sheet name="Junho - Cooper Água Verde" sheetId="2" r:id="rId2"/>
    <sheet name="Julho - Cooper Água Ver" sheetId="3" r:id="rId3"/>
    <sheet name="Agosto - Cooper Água Verde" sheetId="4" r:id="rId4"/>
    <sheet name="Outubro - Cooper Água Verde" sheetId="5" r:id="rId5"/>
    <sheet name="Novembro - Cooper Água Verde" sheetId="6" r:id="rId6"/>
    <sheet name="Dezembro - Cooper Água Verde" sheetId="7" r:id="rId7"/>
    <sheet name="Janeiro - Cooper Água Verd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8" l="1"/>
  <c r="I29" i="8"/>
  <c r="I27" i="8"/>
  <c r="I25" i="8"/>
  <c r="I23" i="8"/>
  <c r="I21" i="8"/>
  <c r="I19" i="8"/>
  <c r="I17" i="8"/>
  <c r="I15" i="8"/>
  <c r="I13" i="8"/>
  <c r="I11" i="8"/>
  <c r="I9" i="8"/>
  <c r="I7" i="8"/>
  <c r="I31" i="7"/>
  <c r="I29" i="7"/>
  <c r="I27" i="7"/>
  <c r="I25" i="7"/>
  <c r="I23" i="7"/>
  <c r="I21" i="7"/>
  <c r="I19" i="7"/>
  <c r="I17" i="7"/>
  <c r="I15" i="7"/>
  <c r="I13" i="7"/>
  <c r="I11" i="7"/>
  <c r="I9" i="7"/>
  <c r="I7" i="7"/>
  <c r="I31" i="6"/>
  <c r="I29" i="6"/>
  <c r="I27" i="6"/>
  <c r="I25" i="6"/>
  <c r="I23" i="6"/>
  <c r="I21" i="6"/>
  <c r="I19" i="6"/>
  <c r="I17" i="6"/>
  <c r="I15" i="6"/>
  <c r="I13" i="6"/>
  <c r="I11" i="6"/>
  <c r="I9" i="6"/>
  <c r="I7" i="6"/>
  <c r="I31" i="5"/>
  <c r="I29" i="5"/>
  <c r="I27" i="5"/>
  <c r="I25" i="5"/>
  <c r="I23" i="5"/>
  <c r="I21" i="5"/>
  <c r="I19" i="5"/>
  <c r="I17" i="5"/>
  <c r="I15" i="5"/>
  <c r="I13" i="5"/>
  <c r="I11" i="5"/>
  <c r="I9" i="5"/>
  <c r="I7" i="5"/>
  <c r="I31" i="4"/>
  <c r="I29" i="4"/>
  <c r="I27" i="4"/>
  <c r="I25" i="4"/>
  <c r="I23" i="4"/>
  <c r="I21" i="4"/>
  <c r="I19" i="4"/>
  <c r="I17" i="4"/>
  <c r="I15" i="4"/>
  <c r="I13" i="4"/>
  <c r="I11" i="4"/>
  <c r="I9" i="4"/>
  <c r="I7" i="4"/>
  <c r="I31" i="3"/>
  <c r="I29" i="3"/>
  <c r="I27" i="3"/>
  <c r="I25" i="3"/>
  <c r="I23" i="3"/>
  <c r="I21" i="3"/>
  <c r="I19" i="3"/>
  <c r="I17" i="3"/>
  <c r="I15" i="3"/>
  <c r="I13" i="3"/>
  <c r="I11" i="3"/>
  <c r="I9" i="3"/>
  <c r="I7" i="3"/>
  <c r="I31" i="2"/>
  <c r="I29" i="2"/>
  <c r="I27" i="2"/>
  <c r="I25" i="2"/>
  <c r="I23" i="2"/>
  <c r="I21" i="2"/>
  <c r="I19" i="2"/>
  <c r="I17" i="2"/>
  <c r="I15" i="2"/>
  <c r="I13" i="2"/>
  <c r="I11" i="2"/>
  <c r="I9" i="2"/>
  <c r="I7" i="2"/>
  <c r="I31" i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<sst xmlns="http://schemas.openxmlformats.org/spreadsheetml/2006/main" count="1042" uniqueCount="145">
  <si>
    <t>MERCADO</t>
  </si>
  <si>
    <t>Cooper Água Verde</t>
  </si>
  <si>
    <t>DATA</t>
  </si>
  <si>
    <t>Maio/2023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</si>
  <si>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</si>
  <si>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</si>
  <si>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</si>
  <si>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</si>
  <si>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</si>
  <si>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</si>
  <si>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</si>
  <si>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</si>
  <si>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</si>
  <si>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</si>
  <si>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</si>
  <si>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 xml:space="preserve">Chinês </t>
  </si>
  <si>
    <t>Urbano</t>
  </si>
  <si>
    <t>Preço</t>
  </si>
  <si>
    <t>4,29</t>
  </si>
  <si>
    <t>4,19</t>
  </si>
  <si>
    <t>4,79</t>
  </si>
  <si>
    <t>Açucar Refinado</t>
  </si>
  <si>
    <t>Globo</t>
  </si>
  <si>
    <t xml:space="preserve">Caravelas </t>
  </si>
  <si>
    <t>Alto Alegre</t>
  </si>
  <si>
    <t>3,59</t>
  </si>
  <si>
    <t>3,99</t>
  </si>
  <si>
    <t>Café em pó</t>
  </si>
  <si>
    <t>Rio Sul</t>
  </si>
  <si>
    <t>Caboclo</t>
  </si>
  <si>
    <t xml:space="preserve">União </t>
  </si>
  <si>
    <t>12,99</t>
  </si>
  <si>
    <t>13,99</t>
  </si>
  <si>
    <t>16,49</t>
  </si>
  <si>
    <t>Farinha de Trigo</t>
  </si>
  <si>
    <t xml:space="preserve">Marca </t>
  </si>
  <si>
    <t>Dom Pedro</t>
  </si>
  <si>
    <t>Sudoeste</t>
  </si>
  <si>
    <t>Primor</t>
  </si>
  <si>
    <t>3,79</t>
  </si>
  <si>
    <t>Feijão Preto</t>
  </si>
  <si>
    <t>Terra Nossa</t>
  </si>
  <si>
    <t>Pé Vermelho</t>
  </si>
  <si>
    <t>6,49</t>
  </si>
  <si>
    <t>8,29</t>
  </si>
  <si>
    <t>7,79</t>
  </si>
  <si>
    <t>Manteiga</t>
  </si>
  <si>
    <t>Pote</t>
  </si>
  <si>
    <t>Lac Lelo</t>
  </si>
  <si>
    <t>Tirol</t>
  </si>
  <si>
    <t>Friolack</t>
  </si>
  <si>
    <t>27,47</t>
  </si>
  <si>
    <t>28,72</t>
  </si>
  <si>
    <t>23,99</t>
  </si>
  <si>
    <t>Óleo de Soja</t>
  </si>
  <si>
    <t>Garrafa</t>
  </si>
  <si>
    <t>L</t>
  </si>
  <si>
    <t>Coamo</t>
  </si>
  <si>
    <t>Soya</t>
  </si>
  <si>
    <t>Cocamar</t>
  </si>
  <si>
    <t>5,89</t>
  </si>
  <si>
    <t>6,39</t>
  </si>
  <si>
    <t>Carne</t>
  </si>
  <si>
    <t>Granel</t>
  </si>
  <si>
    <t>Coxão Mole</t>
  </si>
  <si>
    <t>Coxão Duro</t>
  </si>
  <si>
    <t>Patinho</t>
  </si>
  <si>
    <t>32,79</t>
  </si>
  <si>
    <t>39,98</t>
  </si>
  <si>
    <t>Pão Francês</t>
  </si>
  <si>
    <t>12,90</t>
  </si>
  <si>
    <t>Batata</t>
  </si>
  <si>
    <t>4,98</t>
  </si>
  <si>
    <t>Tomate</t>
  </si>
  <si>
    <t>9,98</t>
  </si>
  <si>
    <t>Leite</t>
  </si>
  <si>
    <t>Caixa</t>
  </si>
  <si>
    <t>Amanhecer</t>
  </si>
  <si>
    <t>Terra Viva</t>
  </si>
  <si>
    <t>4,69</t>
  </si>
  <si>
    <t>Banana</t>
  </si>
  <si>
    <t>Prata</t>
  </si>
  <si>
    <t>Caturra</t>
  </si>
  <si>
    <t>5,98</t>
  </si>
  <si>
    <t>3,98</t>
  </si>
  <si>
    <t>Junho/2023</t>
  </si>
  <si>
    <t>4,99</t>
  </si>
  <si>
    <t>4,49</t>
  </si>
  <si>
    <t>4,89</t>
  </si>
  <si>
    <t>3,89</t>
  </si>
  <si>
    <t>Bom Jesus</t>
  </si>
  <si>
    <t>15,39</t>
  </si>
  <si>
    <t>14,99</t>
  </si>
  <si>
    <t>3,69</t>
  </si>
  <si>
    <t>6,79</t>
  </si>
  <si>
    <t>26,20</t>
  </si>
  <si>
    <t>28,47</t>
  </si>
  <si>
    <t>26,22</t>
  </si>
  <si>
    <t>5,49</t>
  </si>
  <si>
    <t>6,29</t>
  </si>
  <si>
    <t>34,98</t>
  </si>
  <si>
    <t>5,48</t>
  </si>
  <si>
    <t>8,98</t>
  </si>
  <si>
    <t>Aurora</t>
  </si>
  <si>
    <t>4,45</t>
  </si>
  <si>
    <t>4,65</t>
  </si>
  <si>
    <t>Julho/2023</t>
  </si>
  <si>
    <t>Fazenda</t>
  </si>
  <si>
    <t>DoceSucar</t>
  </si>
  <si>
    <t>4,39</t>
  </si>
  <si>
    <t>14,49</t>
  </si>
  <si>
    <t xml:space="preserve">Nordeste </t>
  </si>
  <si>
    <t>7,99</t>
  </si>
  <si>
    <t>7,49</t>
  </si>
  <si>
    <t>23,70</t>
  </si>
  <si>
    <t>28,97</t>
  </si>
  <si>
    <t>Vitaliv</t>
  </si>
  <si>
    <t>5,19</t>
  </si>
  <si>
    <t>6,54</t>
  </si>
  <si>
    <t>5,29</t>
  </si>
  <si>
    <t>4,59</t>
  </si>
  <si>
    <t>4,09</t>
  </si>
  <si>
    <t>7,29</t>
  </si>
  <si>
    <t>Leve</t>
  </si>
  <si>
    <t>31,90</t>
  </si>
  <si>
    <t>Parmalat</t>
  </si>
  <si>
    <t xml:space="preserve">Amanhecer </t>
  </si>
  <si>
    <t>5,39</t>
  </si>
  <si>
    <t>3,29</t>
  </si>
  <si>
    <t>3,75</t>
  </si>
  <si>
    <t>3,45</t>
  </si>
  <si>
    <t>Fritz e Frida</t>
  </si>
  <si>
    <t>7,59</t>
  </si>
  <si>
    <t>24,95</t>
  </si>
  <si>
    <t>24,47</t>
  </si>
  <si>
    <t>7,98</t>
  </si>
  <si>
    <t>Italac</t>
  </si>
  <si>
    <t>3,39</t>
  </si>
  <si>
    <t>3,19</t>
  </si>
  <si>
    <t>32,98</t>
  </si>
  <si>
    <t>Melitta</t>
  </si>
  <si>
    <t>5,99</t>
  </si>
  <si>
    <t>26,47</t>
  </si>
  <si>
    <t>23,22</t>
  </si>
  <si>
    <t>4,78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</si>
</sst>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rgb="FF000000"/>
      <name val="Calibri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/>
    <xf numFmtId="0" fontId="1" fillId="3" borderId="29" xfId="0" applyFont="1" applyFill="1" applyBorder="1"/>
    <xf numFmtId="0" fontId="1" fillId="2" borderId="32" xfId="0" applyFont="1" applyFill="1" applyBorder="1" applyAlignment="1">
      <alignment horizontal="center"/>
    </xf>
    <xf numFmtId="0" fontId="1" fillId="3" borderId="32" xfId="0" applyFont="1" applyFill="1" applyBorder="1"/>
    <xf numFmtId="0" fontId="1" fillId="3" borderId="33" xfId="0" applyFont="1" applyFill="1" applyBorder="1"/>
    <xf numFmtId="0" fontId="1" fillId="3" borderId="23" xfId="0" applyFont="1" applyFill="1" applyBorder="1"/>
    <xf numFmtId="0" fontId="1" fillId="3" borderId="34" xfId="0" applyFont="1" applyFill="1" applyBorder="1"/>
    <xf numFmtId="164" fontId="1" fillId="3" borderId="27" xfId="0" applyNumberFormat="1" applyFont="1" applyFill="1" applyBorder="1" applyAlignment="1">
      <alignment horizontal="center" vertical="center"/>
    </xf>
    <xf numFmtId="0" fontId="2" fillId="0" borderId="31" xfId="0" applyFont="1" applyBorder="1"/>
    <xf numFmtId="164" fontId="1" fillId="0" borderId="17" xfId="0" applyNumberFormat="1" applyFont="1" applyBorder="1" applyAlignment="1">
      <alignment horizontal="center" vertical="center"/>
    </xf>
    <xf numFmtId="0" fontId="2" fillId="0" borderId="22" xfId="0" applyFont="1" applyBorder="1"/>
    <xf numFmtId="49" fontId="1" fillId="0" borderId="10" xfId="0" applyNumberFormat="1" applyFont="1" applyBorder="1" applyAlignment="1">
      <alignment horizontal="center"/>
    </xf>
    <xf numFmtId="0" fontId="2" fillId="0" borderId="10" xfId="0" applyFont="1" applyBorder="1"/>
    <xf numFmtId="0" fontId="1" fillId="2" borderId="14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2" fillId="0" borderId="25" xfId="0" applyFont="1" applyBorder="1"/>
    <xf numFmtId="0" fontId="1" fillId="0" borderId="20" xfId="0" applyFon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" fillId="0" borderId="30" xfId="0" applyFont="1" applyBorder="1"/>
    <xf numFmtId="0" fontId="1" fillId="0" borderId="16" xfId="0" applyFont="1" applyBorder="1" applyAlignment="1">
      <alignment horizontal="center" vertical="center"/>
    </xf>
    <xf numFmtId="0" fontId="2" fillId="0" borderId="21" xfId="0" applyFont="1" applyBorder="1"/>
    <xf numFmtId="0" fontId="1" fillId="0" borderId="10" xfId="0" applyFont="1" applyBorder="1" applyAlignment="1">
      <alignment horizontal="center"/>
    </xf>
    <xf numFmtId="0" fontId="1" fillId="0" borderId="23" xfId="0" applyNumberFormat="1" applyFont="1" applyBorder="1"/>
    <xf numFmtId="0" fontId="1" fillId="0" borderId="24" xfId="0" applyNumberFormat="1" applyFont="1" applyBorder="1"/>
    <xf numFmtId="0" fontId="1" fillId="3" borderId="32" xfId="0" applyNumberFormat="1" applyFont="1" applyFill="1" applyBorder="1"/>
    <xf numFmtId="0" fontId="1" fillId="3" borderId="33" xfId="0" applyNumberFormat="1" applyFont="1" applyFill="1" applyBorder="1"/>
    <xf numFmtId="0" fontId="1" fillId="3" borderId="23" xfId="0" applyNumberFormat="1" applyFont="1" applyFill="1" applyBorder="1"/>
    <xf numFmtId="0" fontId="1" fillId="3" borderId="3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A6" workbookViewId="0">
      <selection activeCell="F14" sqref="F14:H14"/>
    </sheetView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3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3">
        <f>AVERAGE(F8:H8)</f>
        <v>4.4233333333333329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51">
        <v>4.29</v>
      </c>
      <c r="G8" s="51">
        <v>4.1900000000000004</v>
      </c>
      <c r="H8" s="52">
        <v>4.79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22</v>
      </c>
      <c r="G9" s="27" t="s">
        <v>23</v>
      </c>
      <c r="H9" s="28" t="s">
        <v>24</v>
      </c>
      <c r="I9" s="41">
        <f>AVERAGE(F10:H10)</f>
        <v>3.97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53">
        <v>3.59</v>
      </c>
      <c r="G10" s="53">
        <v>3.99</v>
      </c>
      <c r="H10" s="54">
        <v>4.33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28</v>
      </c>
      <c r="G11" s="21" t="s">
        <v>29</v>
      </c>
      <c r="H11" s="22" t="s">
        <v>30</v>
      </c>
      <c r="I11" s="43">
        <f>AVERAGE(F12:H12)</f>
        <v>14.49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51">
        <v>12.99</v>
      </c>
      <c r="G12" s="51">
        <v>13.99</v>
      </c>
      <c r="H12" s="52">
        <v>16.489999999999998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37</v>
      </c>
      <c r="H13" s="28" t="s">
        <v>38</v>
      </c>
      <c r="I13" s="41">
        <f>AVERAGE(F14:H14)</f>
        <v>3.7233333333333332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53">
        <v>3.59</v>
      </c>
      <c r="G14" s="53">
        <v>3.79</v>
      </c>
      <c r="H14" s="54">
        <v>3.79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3" t="e">
        <f>AVERAGE(F16:H16)</f>
        <v>#DIV/0!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24" t="s">
        <v>43</v>
      </c>
      <c r="G16" s="24" t="s">
        <v>44</v>
      </c>
      <c r="H16" s="25" t="s">
        <v>45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 t="e">
        <f>AVERAGE(F18:H18)</f>
        <v>#DIV/0!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30" t="s">
        <v>51</v>
      </c>
      <c r="G18" s="30" t="s">
        <v>52</v>
      </c>
      <c r="H18" s="31" t="s">
        <v>53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59</v>
      </c>
      <c r="I19" s="43" t="e">
        <f>AVERAGE(F20:H20)</f>
        <v>#DIV/0!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24" t="s">
        <v>60</v>
      </c>
      <c r="G20" s="24" t="s">
        <v>61</v>
      </c>
      <c r="H20" s="25" t="s">
        <v>60</v>
      </c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 t="e">
        <f>AVERAGE(F22:H22)</f>
        <v>#DIV/0!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30" t="s">
        <v>67</v>
      </c>
      <c r="G22" s="30" t="s">
        <v>68</v>
      </c>
      <c r="H22" s="31" t="s">
        <v>68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 t="e">
        <f>AVERAGE(F24:H24)</f>
        <v>#DIV/0!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24" t="s">
        <v>70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 t="e">
        <f>AVERAGE(F26:H26)</f>
        <v>#DIV/0!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30" t="s">
        <v>72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 t="e">
        <f>AVERAGE(F28:H28)</f>
        <v>#DIV/0!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24" t="s">
        <v>74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77</v>
      </c>
      <c r="G29" s="27" t="s">
        <v>49</v>
      </c>
      <c r="H29" s="28" t="s">
        <v>78</v>
      </c>
      <c r="I29" s="41" t="e">
        <f>AVERAGE(F30:H30)</f>
        <v>#DIV/0!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32" t="s">
        <v>79</v>
      </c>
      <c r="G30" s="32" t="s">
        <v>20</v>
      </c>
      <c r="H30" s="33" t="s">
        <v>19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 t="e">
        <f>AVERAGE(F32:H32)</f>
        <v>#DIV/0!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24" t="s">
        <v>83</v>
      </c>
      <c r="G32" s="24" t="s">
        <v>84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C9:C10"/>
    <mergeCell ref="D9:D10"/>
    <mergeCell ref="D7:D8"/>
    <mergeCell ref="C7:C8"/>
    <mergeCell ref="B5:C5"/>
    <mergeCell ref="A9:A10"/>
    <mergeCell ref="A21:A22"/>
    <mergeCell ref="A17:A18"/>
    <mergeCell ref="A19:A20"/>
    <mergeCell ref="A7:A8"/>
    <mergeCell ref="A11:A12"/>
    <mergeCell ref="D25:D26"/>
    <mergeCell ref="C29:C30"/>
    <mergeCell ref="C31:C32"/>
    <mergeCell ref="C25:C26"/>
    <mergeCell ref="A13:A14"/>
    <mergeCell ref="A15:A16"/>
    <mergeCell ref="A23:A24"/>
    <mergeCell ref="A31:A32"/>
    <mergeCell ref="A29:A30"/>
    <mergeCell ref="D27:D28"/>
    <mergeCell ref="D31:D32"/>
    <mergeCell ref="D29:D30"/>
    <mergeCell ref="B29:B30"/>
    <mergeCell ref="B31:B32"/>
    <mergeCell ref="C27:C28"/>
    <mergeCell ref="A25:A26"/>
    <mergeCell ref="B25:B26"/>
    <mergeCell ref="B23:B24"/>
    <mergeCell ref="B27:B28"/>
    <mergeCell ref="A27:A28"/>
    <mergeCell ref="B21:B22"/>
    <mergeCell ref="B17:B18"/>
    <mergeCell ref="B19:B20"/>
    <mergeCell ref="B7:B8"/>
    <mergeCell ref="B9:B10"/>
    <mergeCell ref="B11:B12"/>
    <mergeCell ref="B13:B14"/>
    <mergeCell ref="B15:B16"/>
    <mergeCell ref="C13:C14"/>
    <mergeCell ref="C11:C12"/>
    <mergeCell ref="C23:C24"/>
    <mergeCell ref="C21:C22"/>
    <mergeCell ref="D21:D22"/>
    <mergeCell ref="D19:D20"/>
    <mergeCell ref="C19:C20"/>
    <mergeCell ref="C15:C16"/>
    <mergeCell ref="C17:C18"/>
    <mergeCell ref="D23:D24"/>
    <mergeCell ref="I27:I28"/>
    <mergeCell ref="I29:I30"/>
    <mergeCell ref="I31:I32"/>
    <mergeCell ref="I17:I18"/>
    <mergeCell ref="I15:I16"/>
    <mergeCell ref="I25:I26"/>
    <mergeCell ref="I23:I24"/>
    <mergeCell ref="I21:I22"/>
    <mergeCell ref="I19:I20"/>
    <mergeCell ref="I13:I14"/>
    <mergeCell ref="I11:I12"/>
    <mergeCell ref="I7:I8"/>
    <mergeCell ref="I9:I10"/>
    <mergeCell ref="D17:D18"/>
    <mergeCell ref="D15:D16"/>
    <mergeCell ref="E5:G5"/>
    <mergeCell ref="E6:H6"/>
    <mergeCell ref="D11:D12"/>
    <mergeCell ref="D13:D14"/>
  </mergeCells>
  <printOptions horizontalCentered="1" verticalCentered="1"/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85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3" t="e">
        <f>AVERAGE(F8:H8)</f>
        <v>#DIV/0!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24" t="s">
        <v>86</v>
      </c>
      <c r="G8" s="24" t="s">
        <v>87</v>
      </c>
      <c r="H8" s="25" t="s">
        <v>88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22</v>
      </c>
      <c r="G9" s="27" t="s">
        <v>23</v>
      </c>
      <c r="H9" s="28" t="s">
        <v>24</v>
      </c>
      <c r="I9" s="41" t="e">
        <f>AVERAGE(F10:H10)</f>
        <v>#DIV/0!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30" t="s">
        <v>89</v>
      </c>
      <c r="G10" s="30" t="s">
        <v>89</v>
      </c>
      <c r="H10" s="31" t="s">
        <v>19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3" t="e">
        <f>AVERAGE(F12:H12)</f>
        <v>#DIV/0!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24" t="s">
        <v>32</v>
      </c>
      <c r="G12" s="24" t="s">
        <v>91</v>
      </c>
      <c r="H12" s="25" t="s">
        <v>92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37</v>
      </c>
      <c r="H13" s="28" t="s">
        <v>38</v>
      </c>
      <c r="I13" s="41" t="e">
        <f>AVERAGE(F14:H14)</f>
        <v>#DIV/0!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30" t="s">
        <v>93</v>
      </c>
      <c r="G14" s="30" t="s">
        <v>25</v>
      </c>
      <c r="H14" s="31" t="s">
        <v>93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3" t="e">
        <f>AVERAGE(F16:H16)</f>
        <v>#DIV/0!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24" t="s">
        <v>94</v>
      </c>
      <c r="G16" s="24" t="s">
        <v>44</v>
      </c>
      <c r="H16" s="25" t="s">
        <v>45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 t="e">
        <f>AVERAGE(F18:H18)</f>
        <v>#DIV/0!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30" t="s">
        <v>95</v>
      </c>
      <c r="G18" s="30" t="s">
        <v>96</v>
      </c>
      <c r="H18" s="31" t="s">
        <v>97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59</v>
      </c>
      <c r="I19" s="43" t="e">
        <f>AVERAGE(F20:H20)</f>
        <v>#DIV/0!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24" t="s">
        <v>98</v>
      </c>
      <c r="G20" s="24" t="s">
        <v>99</v>
      </c>
      <c r="H20" s="25" t="s">
        <v>98</v>
      </c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 t="e">
        <f>AVERAGE(F22:H22)</f>
        <v>#DIV/0!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30" t="s">
        <v>100</v>
      </c>
      <c r="G22" s="30" t="s">
        <v>68</v>
      </c>
      <c r="H22" s="31" t="s">
        <v>68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 t="e">
        <f>AVERAGE(F24:H24)</f>
        <v>#DIV/0!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24" t="s">
        <v>70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 t="e">
        <f>AVERAGE(F26:H26)</f>
        <v>#DIV/0!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30" t="s">
        <v>101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 t="e">
        <f>AVERAGE(F28:H28)</f>
        <v>#DIV/0!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24" t="s">
        <v>102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77</v>
      </c>
      <c r="G29" s="27" t="s">
        <v>49</v>
      </c>
      <c r="H29" s="28" t="s">
        <v>103</v>
      </c>
      <c r="I29" s="41" t="e">
        <f>AVERAGE(F30:H30)</f>
        <v>#DIV/0!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32" t="s">
        <v>104</v>
      </c>
      <c r="G30" s="32" t="s">
        <v>104</v>
      </c>
      <c r="H30" s="33" t="s">
        <v>105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 t="e">
        <f>AVERAGE(F32:H32)</f>
        <v>#DIV/0!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24" t="s">
        <v>83</v>
      </c>
      <c r="G32" s="24" t="s">
        <v>84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B5:C5"/>
    <mergeCell ref="C13:C14"/>
    <mergeCell ref="C11:C12"/>
    <mergeCell ref="C23:C24"/>
    <mergeCell ref="C21:C22"/>
    <mergeCell ref="C19:C20"/>
    <mergeCell ref="C15:C16"/>
    <mergeCell ref="C17:C18"/>
    <mergeCell ref="E5:G5"/>
    <mergeCell ref="E6:H6"/>
    <mergeCell ref="D11:D12"/>
    <mergeCell ref="D13:D14"/>
    <mergeCell ref="I21:I22"/>
    <mergeCell ref="I27:I28"/>
    <mergeCell ref="I29:I30"/>
    <mergeCell ref="I31:I32"/>
    <mergeCell ref="I17:I18"/>
    <mergeCell ref="I15:I16"/>
    <mergeCell ref="I11:I12"/>
    <mergeCell ref="I7:I8"/>
    <mergeCell ref="I9:I10"/>
    <mergeCell ref="I25:I26"/>
    <mergeCell ref="I23:I24"/>
    <mergeCell ref="I19:I20"/>
    <mergeCell ref="I13:I14"/>
    <mergeCell ref="A13:A14"/>
    <mergeCell ref="A15:A16"/>
    <mergeCell ref="A9:A10"/>
    <mergeCell ref="A17:A18"/>
    <mergeCell ref="A7:A8"/>
    <mergeCell ref="A11:A12"/>
    <mergeCell ref="C9:C10"/>
    <mergeCell ref="D9:D10"/>
    <mergeCell ref="D7:D8"/>
    <mergeCell ref="C7:C8"/>
    <mergeCell ref="B17:B18"/>
    <mergeCell ref="D17:D18"/>
    <mergeCell ref="D15:D16"/>
    <mergeCell ref="B7:B8"/>
    <mergeCell ref="B9:B10"/>
    <mergeCell ref="B11:B12"/>
    <mergeCell ref="B13:B14"/>
    <mergeCell ref="B15:B16"/>
    <mergeCell ref="A23:A24"/>
    <mergeCell ref="A21:A22"/>
    <mergeCell ref="D21:D22"/>
    <mergeCell ref="D19:D20"/>
    <mergeCell ref="B21:B22"/>
    <mergeCell ref="B19:B20"/>
    <mergeCell ref="B23:B24"/>
    <mergeCell ref="A19:A20"/>
    <mergeCell ref="D29:D30"/>
    <mergeCell ref="C27:C28"/>
    <mergeCell ref="C29:C30"/>
    <mergeCell ref="C31:C32"/>
    <mergeCell ref="D23:D24"/>
    <mergeCell ref="D25:D26"/>
    <mergeCell ref="C25:C26"/>
    <mergeCell ref="D27:D28"/>
    <mergeCell ref="D31:D32"/>
    <mergeCell ref="B25:B26"/>
    <mergeCell ref="B27:B28"/>
    <mergeCell ref="A27:A28"/>
    <mergeCell ref="A31:A32"/>
    <mergeCell ref="A29:A30"/>
    <mergeCell ref="B29:B30"/>
    <mergeCell ref="B31:B32"/>
    <mergeCell ref="A25:A26"/>
  </mergeCells>
  <printOptions horizontalCentered="1" verticalCentered="1"/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106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3" t="e">
        <f>AVERAGE(F8:H8)</f>
        <v>#DIV/0!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24" t="s">
        <v>84</v>
      </c>
      <c r="G8" s="24" t="s">
        <v>18</v>
      </c>
      <c r="H8" s="25" t="s">
        <v>88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1" t="e">
        <f>AVERAGE(F10:H10)</f>
        <v>#DIV/0!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30" t="s">
        <v>39</v>
      </c>
      <c r="G10" s="30" t="s">
        <v>18</v>
      </c>
      <c r="H10" s="31" t="s">
        <v>109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3" t="e">
        <f>AVERAGE(F12:H12)</f>
        <v>#DIV/0!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24" t="s">
        <v>110</v>
      </c>
      <c r="G12" s="24" t="s">
        <v>92</v>
      </c>
      <c r="H12" s="25" t="s">
        <v>33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1" t="e">
        <f>AVERAGE(F14:H14)</f>
        <v>#DIV/0!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30" t="s">
        <v>93</v>
      </c>
      <c r="G14" s="30" t="s">
        <v>18</v>
      </c>
      <c r="H14" s="31" t="s">
        <v>93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3" t="e">
        <f>AVERAGE(F16:H16)</f>
        <v>#DIV/0!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24" t="s">
        <v>61</v>
      </c>
      <c r="G16" s="24" t="s">
        <v>112</v>
      </c>
      <c r="H16" s="25" t="s">
        <v>113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 t="e">
        <f>AVERAGE(F18:H18)</f>
        <v>#DIV/0!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30" t="s">
        <v>114</v>
      </c>
      <c r="G18" s="30" t="s">
        <v>115</v>
      </c>
      <c r="H18" s="31" t="s">
        <v>97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116</v>
      </c>
      <c r="I19" s="43" t="e">
        <f>AVERAGE(F20:H20)</f>
        <v>#DIV/0!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24" t="s">
        <v>117</v>
      </c>
      <c r="G20" s="24" t="s">
        <v>118</v>
      </c>
      <c r="H20" s="25" t="s">
        <v>119</v>
      </c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 t="e">
        <f>AVERAGE(F22:H22)</f>
        <v>#DIV/0!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30" t="s">
        <v>67</v>
      </c>
      <c r="G22" s="30" t="s">
        <v>68</v>
      </c>
      <c r="H22" s="31" t="s">
        <v>68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 t="e">
        <f>AVERAGE(F24:H24)</f>
        <v>#DIV/0!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24" t="s">
        <v>70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 t="e">
        <f>AVERAGE(F26:H26)</f>
        <v>#DIV/0!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30" t="s">
        <v>83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 t="e">
        <f>AVERAGE(F28:H28)</f>
        <v>#DIV/0!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24" t="s">
        <v>102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78</v>
      </c>
      <c r="G29" s="27" t="s">
        <v>49</v>
      </c>
      <c r="H29" s="28" t="s">
        <v>103</v>
      </c>
      <c r="I29" s="41" t="e">
        <f>AVERAGE(F30:H30)</f>
        <v>#DIV/0!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32" t="s">
        <v>26</v>
      </c>
      <c r="G30" s="32" t="s">
        <v>120</v>
      </c>
      <c r="H30" s="33" t="s">
        <v>120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 t="e">
        <f>AVERAGE(F32:H32)</f>
        <v>#DIV/0!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24" t="s">
        <v>83</v>
      </c>
      <c r="G32" s="24" t="s">
        <v>84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I31:I32"/>
    <mergeCell ref="I17:I18"/>
    <mergeCell ref="I15:I16"/>
    <mergeCell ref="A19:A20"/>
    <mergeCell ref="B17:B18"/>
    <mergeCell ref="A17:A18"/>
    <mergeCell ref="I11:I12"/>
    <mergeCell ref="I13:I14"/>
    <mergeCell ref="A25:A26"/>
    <mergeCell ref="D31:D32"/>
    <mergeCell ref="A23:A24"/>
    <mergeCell ref="A21:A22"/>
    <mergeCell ref="B21:B22"/>
    <mergeCell ref="B23:B24"/>
    <mergeCell ref="A27:A28"/>
    <mergeCell ref="A31:A32"/>
    <mergeCell ref="A29:A30"/>
    <mergeCell ref="B29:B30"/>
    <mergeCell ref="B31:B32"/>
    <mergeCell ref="B25:B26"/>
    <mergeCell ref="C25:C26"/>
    <mergeCell ref="I25:I26"/>
    <mergeCell ref="I23:I24"/>
    <mergeCell ref="I19:I20"/>
    <mergeCell ref="I21:I22"/>
    <mergeCell ref="B19:B20"/>
    <mergeCell ref="D23:D24"/>
    <mergeCell ref="D25:D26"/>
    <mergeCell ref="D21:D22"/>
    <mergeCell ref="D19:D20"/>
    <mergeCell ref="D9:D10"/>
    <mergeCell ref="D17:D18"/>
    <mergeCell ref="D15:D16"/>
    <mergeCell ref="C31:C32"/>
    <mergeCell ref="C9:C10"/>
    <mergeCell ref="C7:C8"/>
    <mergeCell ref="C23:C24"/>
    <mergeCell ref="C21:C22"/>
    <mergeCell ref="C19:C20"/>
    <mergeCell ref="C17:C18"/>
    <mergeCell ref="B27:B28"/>
    <mergeCell ref="C27:C28"/>
    <mergeCell ref="I27:I28"/>
    <mergeCell ref="D27:D28"/>
    <mergeCell ref="C29:C30"/>
    <mergeCell ref="D29:D30"/>
    <mergeCell ref="I29:I30"/>
    <mergeCell ref="A9:A10"/>
    <mergeCell ref="A7:A8"/>
    <mergeCell ref="A11:A12"/>
    <mergeCell ref="I7:I8"/>
    <mergeCell ref="I9:I10"/>
    <mergeCell ref="C11:C12"/>
    <mergeCell ref="D7:D8"/>
    <mergeCell ref="A13:A14"/>
    <mergeCell ref="C13:C14"/>
    <mergeCell ref="B15:B16"/>
    <mergeCell ref="C15:C16"/>
    <mergeCell ref="A15:A16"/>
    <mergeCell ref="E5:G5"/>
    <mergeCell ref="E6:H6"/>
    <mergeCell ref="B5:C5"/>
    <mergeCell ref="D11:D12"/>
    <mergeCell ref="D13:D14"/>
    <mergeCell ref="B7:B8"/>
    <mergeCell ref="B9:B10"/>
    <mergeCell ref="B11:B12"/>
    <mergeCell ref="B13:B14"/>
  </mergeCells>
  <printOptions horizontalCentered="1" verticalCentered="1"/>
  <pageMargins left="0.25" right="0.2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106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3" t="e">
        <f>AVERAGE(F8:H8)</f>
        <v>#DIV/0!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24" t="s">
        <v>121</v>
      </c>
      <c r="G8" s="24" t="s">
        <v>19</v>
      </c>
      <c r="H8" s="25" t="s">
        <v>88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1" t="e">
        <f>AVERAGE(F10:H10)</f>
        <v>#DIV/0!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30" t="s">
        <v>26</v>
      </c>
      <c r="G10" s="30" t="s">
        <v>18</v>
      </c>
      <c r="H10" s="31" t="s">
        <v>87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3" t="e">
        <f>AVERAGE(F12:H12)</f>
        <v>#DIV/0!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24" t="s">
        <v>32</v>
      </c>
      <c r="G12" s="24" t="s">
        <v>31</v>
      </c>
      <c r="H12" s="25" t="s">
        <v>32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1" t="e">
        <f>AVERAGE(F14:H14)</f>
        <v>#DIV/0!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30" t="s">
        <v>93</v>
      </c>
      <c r="G14" s="30" t="s">
        <v>26</v>
      </c>
      <c r="H14" s="31" t="s">
        <v>93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3" t="e">
        <f>AVERAGE(F16:H16)</f>
        <v>#DIV/0!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24" t="s">
        <v>61</v>
      </c>
      <c r="G16" s="24" t="s">
        <v>122</v>
      </c>
      <c r="H16" s="25" t="s">
        <v>45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 t="e">
        <f>AVERAGE(F18:H18)</f>
        <v>#DIV/0!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30" t="s">
        <v>97</v>
      </c>
      <c r="G18" s="30" t="s">
        <v>95</v>
      </c>
      <c r="H18" s="31" t="s">
        <v>97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123</v>
      </c>
      <c r="I19" s="43" t="e">
        <f>AVERAGE(F20:H20)</f>
        <v>#DIV/0!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24" t="s">
        <v>119</v>
      </c>
      <c r="G20" s="24" t="s">
        <v>98</v>
      </c>
      <c r="H20" s="25" t="s">
        <v>86</v>
      </c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 t="e">
        <f>AVERAGE(F22:H22)</f>
        <v>#DIV/0!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30" t="s">
        <v>124</v>
      </c>
      <c r="G22" s="30" t="s">
        <v>68</v>
      </c>
      <c r="H22" s="31" t="s">
        <v>124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 t="e">
        <f>AVERAGE(F24:H24)</f>
        <v>#DIV/0!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24" t="s">
        <v>70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 t="e">
        <f>AVERAGE(F26:H26)</f>
        <v>#DIV/0!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30" t="s">
        <v>72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 t="e">
        <f>AVERAGE(F28:H28)</f>
        <v>#DIV/0!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24" t="s">
        <v>74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125</v>
      </c>
      <c r="G29" s="27" t="s">
        <v>49</v>
      </c>
      <c r="H29" s="28" t="s">
        <v>126</v>
      </c>
      <c r="I29" s="41" t="e">
        <f>AVERAGE(F30:H30)</f>
        <v>#DIV/0!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32" t="s">
        <v>121</v>
      </c>
      <c r="G30" s="32" t="s">
        <v>26</v>
      </c>
      <c r="H30" s="33" t="s">
        <v>26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 t="e">
        <f>AVERAGE(F32:H32)</f>
        <v>#DIV/0!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24" t="s">
        <v>83</v>
      </c>
      <c r="G32" s="24" t="s">
        <v>84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I23:I24"/>
    <mergeCell ref="I19:I20"/>
    <mergeCell ref="I21:I22"/>
    <mergeCell ref="D29:D30"/>
    <mergeCell ref="D31:D32"/>
    <mergeCell ref="I29:I30"/>
    <mergeCell ref="I31:I32"/>
    <mergeCell ref="B15:B16"/>
    <mergeCell ref="B27:B28"/>
    <mergeCell ref="C27:C28"/>
    <mergeCell ref="I27:I28"/>
    <mergeCell ref="D27:D28"/>
    <mergeCell ref="C29:C30"/>
    <mergeCell ref="C31:C32"/>
    <mergeCell ref="D23:D24"/>
    <mergeCell ref="D25:D26"/>
    <mergeCell ref="D21:D22"/>
    <mergeCell ref="D19:D20"/>
    <mergeCell ref="D17:D18"/>
    <mergeCell ref="D15:D16"/>
    <mergeCell ref="I25:I26"/>
    <mergeCell ref="B25:B26"/>
    <mergeCell ref="C25:C26"/>
    <mergeCell ref="A27:A28"/>
    <mergeCell ref="A31:A32"/>
    <mergeCell ref="A29:A30"/>
    <mergeCell ref="B29:B30"/>
    <mergeCell ref="B31:B32"/>
    <mergeCell ref="A25:A26"/>
    <mergeCell ref="E5:G5"/>
    <mergeCell ref="B5:C5"/>
    <mergeCell ref="D11:D12"/>
    <mergeCell ref="D13:D14"/>
    <mergeCell ref="B7:B8"/>
    <mergeCell ref="B9:B10"/>
    <mergeCell ref="C13:C14"/>
    <mergeCell ref="C19:C20"/>
    <mergeCell ref="C17:C18"/>
    <mergeCell ref="B19:B20"/>
    <mergeCell ref="A19:A20"/>
    <mergeCell ref="B17:B18"/>
    <mergeCell ref="A17:A18"/>
    <mergeCell ref="C23:C24"/>
    <mergeCell ref="C21:C22"/>
    <mergeCell ref="A21:A22"/>
    <mergeCell ref="B21:B22"/>
    <mergeCell ref="B23:B24"/>
    <mergeCell ref="A23:A24"/>
    <mergeCell ref="A13:A14"/>
    <mergeCell ref="C15:C16"/>
    <mergeCell ref="A15:A16"/>
    <mergeCell ref="A7:A8"/>
    <mergeCell ref="C11:C12"/>
    <mergeCell ref="C9:C10"/>
    <mergeCell ref="C7:C8"/>
    <mergeCell ref="I13:I14"/>
    <mergeCell ref="I17:I18"/>
    <mergeCell ref="I15:I16"/>
    <mergeCell ref="B11:B12"/>
    <mergeCell ref="B13:B14"/>
    <mergeCell ref="A9:A10"/>
    <mergeCell ref="A11:A12"/>
    <mergeCell ref="E6:H6"/>
    <mergeCell ref="I7:I8"/>
    <mergeCell ref="I9:I10"/>
    <mergeCell ref="I11:I12"/>
    <mergeCell ref="D9:D10"/>
    <mergeCell ref="D7:D8"/>
  </mergeCells>
  <printOptions horizontalCentered="1" verticalCentered="1"/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106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3" t="e">
        <f>AVERAGE(F8:H8)</f>
        <v>#DIV/0!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24" t="s">
        <v>119</v>
      </c>
      <c r="G8" s="24" t="s">
        <v>79</v>
      </c>
      <c r="H8" s="25" t="s">
        <v>127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1" t="e">
        <f>AVERAGE(F10:H10)</f>
        <v>#DIV/0!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30" t="s">
        <v>19</v>
      </c>
      <c r="G10" s="30" t="s">
        <v>87</v>
      </c>
      <c r="H10" s="31" t="s">
        <v>18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3" t="e">
        <f>AVERAGE(F12:H12)</f>
        <v>#DIV/0!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24" t="s">
        <v>32</v>
      </c>
      <c r="G12" s="24" t="s">
        <v>32</v>
      </c>
      <c r="H12" s="25" t="s">
        <v>31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1" t="e">
        <f>AVERAGE(F14:H14)</f>
        <v>#DIV/0!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30" t="s">
        <v>128</v>
      </c>
      <c r="G14" s="30" t="s">
        <v>129</v>
      </c>
      <c r="H14" s="31" t="s">
        <v>130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3" t="e">
        <f>AVERAGE(F16:H16)</f>
        <v>#DIV/0!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24" t="s">
        <v>61</v>
      </c>
      <c r="G16" s="24" t="s">
        <v>44</v>
      </c>
      <c r="H16" s="25" t="s">
        <v>132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 t="e">
        <f>AVERAGE(F18:H18)</f>
        <v>#DIV/0!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30" t="s">
        <v>133</v>
      </c>
      <c r="G18" s="30" t="s">
        <v>134</v>
      </c>
      <c r="H18" s="31" t="s">
        <v>97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123</v>
      </c>
      <c r="I19" s="43" t="e">
        <f>AVERAGE(F20:H20)</f>
        <v>#DIV/0!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24" t="s">
        <v>119</v>
      </c>
      <c r="G20" s="24" t="s">
        <v>98</v>
      </c>
      <c r="H20" s="25"/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 t="e">
        <f>AVERAGE(F22:H22)</f>
        <v>#DIV/0!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30" t="s">
        <v>124</v>
      </c>
      <c r="G22" s="30" t="s">
        <v>68</v>
      </c>
      <c r="H22" s="31" t="s">
        <v>124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 t="e">
        <f>AVERAGE(F24:H24)</f>
        <v>#DIV/0!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24" t="s">
        <v>70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 t="e">
        <f>AVERAGE(F26:H26)</f>
        <v>#DIV/0!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30" t="s">
        <v>72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 t="e">
        <f>AVERAGE(F28:H28)</f>
        <v>#DIV/0!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24" t="s">
        <v>135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136</v>
      </c>
      <c r="G29" s="27" t="s">
        <v>49</v>
      </c>
      <c r="H29" s="28" t="s">
        <v>126</v>
      </c>
      <c r="I29" s="41" t="e">
        <f>AVERAGE(F30:H30)</f>
        <v>#DIV/0!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32" t="s">
        <v>39</v>
      </c>
      <c r="G30" s="32" t="s">
        <v>26</v>
      </c>
      <c r="H30" s="33" t="s">
        <v>39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 t="e">
        <f>AVERAGE(F32:H32)</f>
        <v>#DIV/0!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24" t="s">
        <v>101</v>
      </c>
      <c r="G32" s="24" t="s">
        <v>84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I31:I32"/>
    <mergeCell ref="I27:I28"/>
    <mergeCell ref="I25:I26"/>
    <mergeCell ref="I23:I24"/>
    <mergeCell ref="I19:I20"/>
    <mergeCell ref="I21:I22"/>
    <mergeCell ref="I17:I18"/>
    <mergeCell ref="I15:I16"/>
    <mergeCell ref="I29:I30"/>
    <mergeCell ref="E5:G5"/>
    <mergeCell ref="B5:C5"/>
    <mergeCell ref="A9:A10"/>
    <mergeCell ref="A7:A8"/>
    <mergeCell ref="A21:A22"/>
    <mergeCell ref="B21:B22"/>
    <mergeCell ref="B19:B20"/>
    <mergeCell ref="A19:A20"/>
    <mergeCell ref="B17:B18"/>
    <mergeCell ref="A17:A18"/>
    <mergeCell ref="D9:D10"/>
    <mergeCell ref="D7:D8"/>
    <mergeCell ref="D23:D24"/>
    <mergeCell ref="D21:D22"/>
    <mergeCell ref="D19:D20"/>
    <mergeCell ref="D17:D18"/>
    <mergeCell ref="D15:D16"/>
    <mergeCell ref="B23:B24"/>
    <mergeCell ref="A23:A24"/>
    <mergeCell ref="C23:C24"/>
    <mergeCell ref="C21:C22"/>
    <mergeCell ref="C19:C20"/>
    <mergeCell ref="C17:C18"/>
    <mergeCell ref="C25:C26"/>
    <mergeCell ref="C15:C16"/>
    <mergeCell ref="A15:A16"/>
    <mergeCell ref="C11:C12"/>
    <mergeCell ref="B15:B16"/>
    <mergeCell ref="C9:C10"/>
    <mergeCell ref="D31:D32"/>
    <mergeCell ref="B25:B26"/>
    <mergeCell ref="A27:A28"/>
    <mergeCell ref="A31:A32"/>
    <mergeCell ref="A29:A30"/>
    <mergeCell ref="B31:B32"/>
    <mergeCell ref="B27:B28"/>
    <mergeCell ref="C31:C32"/>
    <mergeCell ref="A25:A26"/>
    <mergeCell ref="C27:C28"/>
    <mergeCell ref="B29:B30"/>
    <mergeCell ref="C29:C30"/>
    <mergeCell ref="D27:D28"/>
    <mergeCell ref="D25:D26"/>
    <mergeCell ref="D29:D30"/>
    <mergeCell ref="E6:H6"/>
    <mergeCell ref="I7:I8"/>
    <mergeCell ref="I9:I10"/>
    <mergeCell ref="I11:I12"/>
    <mergeCell ref="I13:I14"/>
    <mergeCell ref="D11:D12"/>
    <mergeCell ref="D13:D14"/>
    <mergeCell ref="B7:B8"/>
    <mergeCell ref="B9:B10"/>
    <mergeCell ref="A11:A12"/>
    <mergeCell ref="A13:A14"/>
    <mergeCell ref="C13:C14"/>
    <mergeCell ref="B11:B12"/>
    <mergeCell ref="B13:B14"/>
    <mergeCell ref="C7:C8"/>
  </mergeCells>
  <printOptions horizontalCentered="1" verticalCentered="1"/>
  <pageMargins left="0.25" right="0.2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106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3" t="e">
        <f>AVERAGE(F8:H8)</f>
        <v>#DIV/0!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24" t="s">
        <v>117</v>
      </c>
      <c r="G8" s="24" t="s">
        <v>88</v>
      </c>
      <c r="H8" s="25" t="s">
        <v>98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1" t="e">
        <f>AVERAGE(F10:H10)</f>
        <v>#DIV/0!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30" t="s">
        <v>18</v>
      </c>
      <c r="G10" s="30" t="s">
        <v>120</v>
      </c>
      <c r="H10" s="31" t="s">
        <v>120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3" t="e">
        <f>AVERAGE(F12:H12)</f>
        <v>#DIV/0!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24" t="s">
        <v>32</v>
      </c>
      <c r="G12" s="24" t="s">
        <v>31</v>
      </c>
      <c r="H12" s="25" t="s">
        <v>31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1" t="e">
        <f>AVERAGE(F14:H14)</f>
        <v>#DIV/0!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30" t="s">
        <v>128</v>
      </c>
      <c r="G14" s="30" t="s">
        <v>137</v>
      </c>
      <c r="H14" s="31" t="s">
        <v>138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3" t="e">
        <f>AVERAGE(F16:H16)</f>
        <v>#DIV/0!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24" t="s">
        <v>61</v>
      </c>
      <c r="G16" s="24" t="s">
        <v>112</v>
      </c>
      <c r="H16" s="25" t="s">
        <v>132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>
        <f>AVERAGE(F18:H18)</f>
        <v>2445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30" t="s">
        <v>114</v>
      </c>
      <c r="G18" s="30" t="s">
        <v>114</v>
      </c>
      <c r="H18" s="31">
        <v>2445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116</v>
      </c>
      <c r="I19" s="43" t="e">
        <f>AVERAGE(F20:H20)</f>
        <v>#DIV/0!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24" t="s">
        <v>119</v>
      </c>
      <c r="G20" s="24" t="s">
        <v>98</v>
      </c>
      <c r="H20" s="25" t="s">
        <v>117</v>
      </c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 t="e">
        <f>AVERAGE(F22:H22)</f>
        <v>#DIV/0!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30" t="s">
        <v>139</v>
      </c>
      <c r="G22" s="30" t="s">
        <v>68</v>
      </c>
      <c r="H22" s="31" t="s">
        <v>139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 t="e">
        <f>AVERAGE(F24:H24)</f>
        <v>#DIV/0!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24" t="s">
        <v>70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 t="e">
        <f>AVERAGE(F26:H26)</f>
        <v>#DIV/0!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30" t="s">
        <v>83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 t="e">
        <f>AVERAGE(F28:H28)</f>
        <v>#DIV/0!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24" t="s">
        <v>74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136</v>
      </c>
      <c r="G29" s="27" t="s">
        <v>49</v>
      </c>
      <c r="H29" s="28" t="s">
        <v>126</v>
      </c>
      <c r="I29" s="41" t="e">
        <f>AVERAGE(F30:H30)</f>
        <v>#DIV/0!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32" t="s">
        <v>137</v>
      </c>
      <c r="G30" s="32" t="s">
        <v>26</v>
      </c>
      <c r="H30" s="33" t="s">
        <v>129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 t="e">
        <f>AVERAGE(F32:H32)</f>
        <v>#DIV/0!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24" t="s">
        <v>101</v>
      </c>
      <c r="G32" s="24" t="s">
        <v>84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A9:A10"/>
    <mergeCell ref="A7:A8"/>
    <mergeCell ref="B13:B14"/>
    <mergeCell ref="C15:C16"/>
    <mergeCell ref="C9:C10"/>
    <mergeCell ref="C7:C8"/>
    <mergeCell ref="I31:I32"/>
    <mergeCell ref="D25:D26"/>
    <mergeCell ref="B25:B26"/>
    <mergeCell ref="A27:A28"/>
    <mergeCell ref="A31:A32"/>
    <mergeCell ref="A29:A30"/>
    <mergeCell ref="B29:B30"/>
    <mergeCell ref="B27:B28"/>
    <mergeCell ref="I29:I30"/>
    <mergeCell ref="I27:I28"/>
    <mergeCell ref="D19:D20"/>
    <mergeCell ref="D17:D18"/>
    <mergeCell ref="D15:D16"/>
    <mergeCell ref="I25:I26"/>
    <mergeCell ref="I23:I24"/>
    <mergeCell ref="I19:I20"/>
    <mergeCell ref="I21:I22"/>
    <mergeCell ref="I17:I18"/>
    <mergeCell ref="I15:I16"/>
    <mergeCell ref="C25:C26"/>
    <mergeCell ref="C27:C28"/>
    <mergeCell ref="D27:D28"/>
    <mergeCell ref="D23:D24"/>
    <mergeCell ref="D21:D22"/>
    <mergeCell ref="B17:B18"/>
    <mergeCell ref="C11:C12"/>
    <mergeCell ref="B15:B16"/>
    <mergeCell ref="C23:C24"/>
    <mergeCell ref="C21:C22"/>
    <mergeCell ref="C19:C20"/>
    <mergeCell ref="C17:C18"/>
    <mergeCell ref="B21:B22"/>
    <mergeCell ref="B23:B24"/>
    <mergeCell ref="B19:B20"/>
    <mergeCell ref="B11:B12"/>
    <mergeCell ref="C29:C30"/>
    <mergeCell ref="D29:D30"/>
    <mergeCell ref="D31:D32"/>
    <mergeCell ref="B31:B32"/>
    <mergeCell ref="C31:C32"/>
    <mergeCell ref="A13:A14"/>
    <mergeCell ref="A25:A26"/>
    <mergeCell ref="A15:A16"/>
    <mergeCell ref="A17:A18"/>
    <mergeCell ref="A11:A12"/>
    <mergeCell ref="A21:A22"/>
    <mergeCell ref="A19:A20"/>
    <mergeCell ref="A23:A24"/>
    <mergeCell ref="D13:D14"/>
    <mergeCell ref="B7:B8"/>
    <mergeCell ref="E6:H6"/>
    <mergeCell ref="I7:I8"/>
    <mergeCell ref="I13:I14"/>
    <mergeCell ref="C13:C14"/>
    <mergeCell ref="I9:I10"/>
    <mergeCell ref="I11:I12"/>
    <mergeCell ref="B9:B10"/>
    <mergeCell ref="D9:D10"/>
    <mergeCell ref="D7:D8"/>
    <mergeCell ref="E5:G5"/>
    <mergeCell ref="B5:C5"/>
    <mergeCell ref="D11:D12"/>
  </mergeCells>
  <printOptions horizontalCentered="1" verticalCentered="1"/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106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3" t="e">
        <f>AVERAGE(F8:H8)</f>
        <v>#DIV/0!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24" t="s">
        <v>119</v>
      </c>
      <c r="G8" s="24" t="s">
        <v>20</v>
      </c>
      <c r="H8" s="25" t="s">
        <v>98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30</v>
      </c>
      <c r="G9" s="27" t="s">
        <v>23</v>
      </c>
      <c r="H9" s="28" t="s">
        <v>24</v>
      </c>
      <c r="I9" s="41" t="e">
        <f>AVERAGE(F10:H10)</f>
        <v>#DIV/0!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30" t="s">
        <v>79</v>
      </c>
      <c r="G10" s="30" t="s">
        <v>79</v>
      </c>
      <c r="H10" s="31" t="s">
        <v>79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90</v>
      </c>
      <c r="G11" s="21" t="s">
        <v>29</v>
      </c>
      <c r="H11" s="22" t="s">
        <v>140</v>
      </c>
      <c r="I11" s="43" t="e">
        <f>AVERAGE(F12:H12)</f>
        <v>#DIV/0!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24" t="s">
        <v>32</v>
      </c>
      <c r="G12" s="24" t="s">
        <v>32</v>
      </c>
      <c r="H12" s="25" t="s">
        <v>32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1" t="e">
        <f>AVERAGE(F14:H14)</f>
        <v>#DIV/0!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30" t="s">
        <v>137</v>
      </c>
      <c r="G14" s="30" t="s">
        <v>26</v>
      </c>
      <c r="H14" s="31" t="s">
        <v>138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3" t="e">
        <f>AVERAGE(F16:H16)</f>
        <v>#DIV/0!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24" t="s">
        <v>141</v>
      </c>
      <c r="G16" s="24" t="s">
        <v>112</v>
      </c>
      <c r="H16" s="25" t="s">
        <v>112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 t="e">
        <f>AVERAGE(F18:H18)</f>
        <v>#DIV/0!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30" t="s">
        <v>142</v>
      </c>
      <c r="G18" s="30" t="s">
        <v>97</v>
      </c>
      <c r="H18" s="30" t="s">
        <v>143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116</v>
      </c>
      <c r="I19" s="43" t="e">
        <f>AVERAGE(F20:H20)</f>
        <v>#DIV/0!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24" t="s">
        <v>119</v>
      </c>
      <c r="G20" s="24" t="s">
        <v>127</v>
      </c>
      <c r="H20" s="25" t="s">
        <v>119</v>
      </c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 t="e">
        <f>AVERAGE(F22:H22)</f>
        <v>#DIV/0!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30" t="s">
        <v>139</v>
      </c>
      <c r="G22" s="30" t="s">
        <v>68</v>
      </c>
      <c r="H22" s="31" t="s">
        <v>139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 t="e">
        <f>AVERAGE(F24:H24)</f>
        <v>#DIV/0!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24" t="s">
        <v>70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 t="e">
        <f>AVERAGE(F26:H26)</f>
        <v>#DIV/0!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30" t="s">
        <v>83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 t="e">
        <f>AVERAGE(F28:H28)</f>
        <v>#DIV/0!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24" t="s">
        <v>74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125</v>
      </c>
      <c r="G29" s="27" t="s">
        <v>49</v>
      </c>
      <c r="H29" s="28" t="s">
        <v>126</v>
      </c>
      <c r="I29" s="41" t="e">
        <f>AVERAGE(F30:H30)</f>
        <v>#DIV/0!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32" t="s">
        <v>25</v>
      </c>
      <c r="G30" s="32" t="s">
        <v>39</v>
      </c>
      <c r="H30" s="33" t="s">
        <v>128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 t="e">
        <f>AVERAGE(F32:H32)</f>
        <v>#DIV/0!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24" t="s">
        <v>83</v>
      </c>
      <c r="G32" s="24" t="s">
        <v>144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B5:C5"/>
    <mergeCell ref="D11:D12"/>
    <mergeCell ref="B7:B8"/>
    <mergeCell ref="E6:H6"/>
    <mergeCell ref="C11:C12"/>
    <mergeCell ref="B9:B10"/>
    <mergeCell ref="I31:I32"/>
    <mergeCell ref="I29:I30"/>
    <mergeCell ref="I27:I28"/>
    <mergeCell ref="D9:D10"/>
    <mergeCell ref="E5:G5"/>
    <mergeCell ref="I19:I20"/>
    <mergeCell ref="I21:I22"/>
    <mergeCell ref="I13:I14"/>
    <mergeCell ref="I9:I10"/>
    <mergeCell ref="I11:I12"/>
    <mergeCell ref="I17:I18"/>
    <mergeCell ref="I15:I16"/>
    <mergeCell ref="D7:D8"/>
    <mergeCell ref="I7:I8"/>
    <mergeCell ref="C29:C30"/>
    <mergeCell ref="D29:D30"/>
    <mergeCell ref="D31:D32"/>
    <mergeCell ref="C31:C32"/>
    <mergeCell ref="D27:D28"/>
    <mergeCell ref="C23:C24"/>
    <mergeCell ref="C21:C22"/>
    <mergeCell ref="C27:C28"/>
    <mergeCell ref="C19:C20"/>
    <mergeCell ref="C17:C18"/>
    <mergeCell ref="D21:D22"/>
    <mergeCell ref="D19:D20"/>
    <mergeCell ref="I25:I26"/>
    <mergeCell ref="I23:I24"/>
    <mergeCell ref="D13:D14"/>
    <mergeCell ref="A13:A14"/>
    <mergeCell ref="A15:A16"/>
    <mergeCell ref="A17:A18"/>
    <mergeCell ref="A23:A24"/>
    <mergeCell ref="B19:B20"/>
    <mergeCell ref="B13:B14"/>
    <mergeCell ref="B17:B18"/>
    <mergeCell ref="B15:B16"/>
    <mergeCell ref="A11:A12"/>
    <mergeCell ref="B11:B12"/>
    <mergeCell ref="A9:A10"/>
    <mergeCell ref="A7:A8"/>
    <mergeCell ref="C13:C14"/>
    <mergeCell ref="C9:C10"/>
    <mergeCell ref="C7:C8"/>
    <mergeCell ref="A21:A22"/>
    <mergeCell ref="A19:A20"/>
    <mergeCell ref="B25:B26"/>
    <mergeCell ref="B21:B22"/>
    <mergeCell ref="B23:B24"/>
    <mergeCell ref="A25:A26"/>
    <mergeCell ref="A27:A28"/>
    <mergeCell ref="A31:A32"/>
    <mergeCell ref="A29:A30"/>
    <mergeCell ref="B29:B30"/>
    <mergeCell ref="B27:B28"/>
    <mergeCell ref="B31:B32"/>
    <mergeCell ref="C25:C26"/>
    <mergeCell ref="D23:D24"/>
    <mergeCell ref="D25:D26"/>
    <mergeCell ref="D17:D18"/>
    <mergeCell ref="D15:D16"/>
    <mergeCell ref="C15:C16"/>
  </mergeCells>
  <printOptions horizontalCentered="1" verticalCentered="1"/>
  <pageMargins left="0.25" right="0.25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tabSelected="1" topLeftCell="A9" workbookViewId="0">
      <selection activeCell="F32" sqref="F32:G32"/>
    </sheetView>
  </sheetViews>
  <sheetFormatPr defaultColWidth="14.44140625" defaultRowHeight="15" customHeight="1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50" t="s">
        <v>1</v>
      </c>
      <c r="C5" s="39"/>
      <c r="D5" s="14" t="s">
        <v>2</v>
      </c>
      <c r="E5" s="38" t="s">
        <v>106</v>
      </c>
      <c r="F5" s="39"/>
      <c r="G5" s="39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39"/>
      <c r="G6" s="39"/>
      <c r="H6" s="39"/>
      <c r="I6" s="19" t="s">
        <v>9</v>
      </c>
      <c r="J6" s="5"/>
      <c r="K6" s="5"/>
    </row>
    <row r="7" spans="1:11" ht="15.6">
      <c r="A7" s="48" t="s">
        <v>10</v>
      </c>
      <c r="B7" s="45" t="s">
        <v>11</v>
      </c>
      <c r="C7" s="45" t="s">
        <v>12</v>
      </c>
      <c r="D7" s="36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3">
        <f>AVERAGE(F8:H8)</f>
        <v>5.623333333333334</v>
      </c>
      <c r="J7" s="5"/>
      <c r="K7" s="5"/>
    </row>
    <row r="8" spans="1:11" ht="15.6">
      <c r="A8" s="49"/>
      <c r="B8" s="37"/>
      <c r="C8" s="37"/>
      <c r="D8" s="37"/>
      <c r="E8" s="23" t="s">
        <v>17</v>
      </c>
      <c r="F8" s="51">
        <v>5.39</v>
      </c>
      <c r="G8" s="51">
        <v>4.79</v>
      </c>
      <c r="H8" s="52">
        <v>6.69</v>
      </c>
      <c r="I8" s="42"/>
      <c r="J8" s="5"/>
      <c r="K8" s="5"/>
    </row>
    <row r="9" spans="1:11" ht="15.6">
      <c r="A9" s="46" t="s">
        <v>21</v>
      </c>
      <c r="B9" s="44" t="s">
        <v>11</v>
      </c>
      <c r="C9" s="44" t="s">
        <v>12</v>
      </c>
      <c r="D9" s="34">
        <v>1</v>
      </c>
      <c r="E9" s="26" t="s">
        <v>13</v>
      </c>
      <c r="F9" s="27" t="s">
        <v>30</v>
      </c>
      <c r="G9" s="27" t="s">
        <v>23</v>
      </c>
      <c r="H9" s="28" t="s">
        <v>24</v>
      </c>
      <c r="I9" s="41">
        <f>AVERAGE(F10:H10)</f>
        <v>4.6900000000000004</v>
      </c>
      <c r="J9" s="5"/>
      <c r="K9" s="5"/>
    </row>
    <row r="10" spans="1:11" ht="15.6">
      <c r="A10" s="47"/>
      <c r="B10" s="35"/>
      <c r="C10" s="35"/>
      <c r="D10" s="35"/>
      <c r="E10" s="29" t="s">
        <v>17</v>
      </c>
      <c r="F10" s="53">
        <v>4.8899999999999997</v>
      </c>
      <c r="G10" s="53">
        <v>4.3899999999999997</v>
      </c>
      <c r="H10" s="54">
        <v>4.79</v>
      </c>
      <c r="I10" s="42"/>
      <c r="J10" s="5"/>
      <c r="K10" s="5"/>
    </row>
    <row r="11" spans="1:11" ht="15.6">
      <c r="A11" s="48" t="s">
        <v>27</v>
      </c>
      <c r="B11" s="45" t="s">
        <v>11</v>
      </c>
      <c r="C11" s="45" t="s">
        <v>12</v>
      </c>
      <c r="D11" s="36">
        <v>0.5</v>
      </c>
      <c r="E11" s="20" t="s">
        <v>13</v>
      </c>
      <c r="F11" s="21" t="s">
        <v>90</v>
      </c>
      <c r="G11" s="21" t="s">
        <v>29</v>
      </c>
      <c r="H11" s="22" t="s">
        <v>140</v>
      </c>
      <c r="I11" s="43">
        <f>AVERAGE(F12:H12)</f>
        <v>14.443333333333333</v>
      </c>
      <c r="J11" s="5"/>
      <c r="K11" s="5"/>
    </row>
    <row r="12" spans="1:11" ht="15.6">
      <c r="A12" s="49"/>
      <c r="B12" s="37"/>
      <c r="C12" s="37"/>
      <c r="D12" s="37"/>
      <c r="E12" s="23" t="s">
        <v>17</v>
      </c>
      <c r="F12" s="51">
        <v>13.89</v>
      </c>
      <c r="G12" s="51">
        <v>14.45</v>
      </c>
      <c r="H12" s="52">
        <v>14.99</v>
      </c>
      <c r="I12" s="42"/>
      <c r="J12" s="5"/>
      <c r="K12" s="5"/>
    </row>
    <row r="13" spans="1:11" ht="15.6">
      <c r="A13" s="46" t="s">
        <v>34</v>
      </c>
      <c r="B13" s="44" t="s">
        <v>11</v>
      </c>
      <c r="C13" s="44" t="s">
        <v>12</v>
      </c>
      <c r="D13" s="34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1">
        <f>AVERAGE(F14:H14)</f>
        <v>3.4233333333333333</v>
      </c>
      <c r="J13" s="5"/>
      <c r="K13" s="5"/>
    </row>
    <row r="14" spans="1:11" ht="15.6">
      <c r="A14" s="47"/>
      <c r="B14" s="35"/>
      <c r="C14" s="35"/>
      <c r="D14" s="35"/>
      <c r="E14" s="29" t="s">
        <v>17</v>
      </c>
      <c r="F14" s="53">
        <v>3.29</v>
      </c>
      <c r="G14" s="53">
        <v>3.79</v>
      </c>
      <c r="H14" s="54">
        <v>3.19</v>
      </c>
      <c r="I14" s="42"/>
      <c r="J14" s="5"/>
      <c r="K14" s="5"/>
    </row>
    <row r="15" spans="1:11" ht="15.6">
      <c r="A15" s="48" t="s">
        <v>40</v>
      </c>
      <c r="B15" s="45" t="s">
        <v>11</v>
      </c>
      <c r="C15" s="45" t="s">
        <v>12</v>
      </c>
      <c r="D15" s="36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3">
        <f>AVERAGE(F16:H16)</f>
        <v>7.9899999999999993</v>
      </c>
      <c r="J15" s="5"/>
      <c r="K15" s="5"/>
    </row>
    <row r="16" spans="1:11" ht="15.6">
      <c r="A16" s="49"/>
      <c r="B16" s="37"/>
      <c r="C16" s="37"/>
      <c r="D16" s="37"/>
      <c r="E16" s="23" t="s">
        <v>17</v>
      </c>
      <c r="F16" s="51">
        <v>5.99</v>
      </c>
      <c r="G16" s="51">
        <v>9.49</v>
      </c>
      <c r="H16" s="52">
        <v>8.49</v>
      </c>
      <c r="I16" s="42"/>
      <c r="J16" s="5"/>
      <c r="K16" s="5"/>
    </row>
    <row r="17" spans="1:11" ht="15.6">
      <c r="A17" s="46" t="s">
        <v>46</v>
      </c>
      <c r="B17" s="44" t="s">
        <v>47</v>
      </c>
      <c r="C17" s="44" t="s">
        <v>12</v>
      </c>
      <c r="D17" s="34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1">
        <f>AVERAGE(F18:H18)</f>
        <v>25.399999999999995</v>
      </c>
      <c r="J17" s="5"/>
      <c r="K17" s="5"/>
    </row>
    <row r="18" spans="1:11" ht="15.6">
      <c r="A18" s="47"/>
      <c r="B18" s="35"/>
      <c r="C18" s="35"/>
      <c r="D18" s="35"/>
      <c r="E18" s="29" t="s">
        <v>17</v>
      </c>
      <c r="F18" s="53">
        <v>26.49</v>
      </c>
      <c r="G18" s="53">
        <v>25.99</v>
      </c>
      <c r="H18" s="53">
        <v>23.72</v>
      </c>
      <c r="I18" s="42"/>
      <c r="J18" s="5"/>
      <c r="K18" s="5"/>
    </row>
    <row r="19" spans="1:11" ht="15.6">
      <c r="A19" s="48" t="s">
        <v>54</v>
      </c>
      <c r="B19" s="45" t="s">
        <v>55</v>
      </c>
      <c r="C19" s="45" t="s">
        <v>56</v>
      </c>
      <c r="D19" s="36">
        <v>0.9</v>
      </c>
      <c r="E19" s="20" t="s">
        <v>13</v>
      </c>
      <c r="F19" s="21" t="s">
        <v>57</v>
      </c>
      <c r="G19" s="21" t="s">
        <v>58</v>
      </c>
      <c r="H19" s="22" t="s">
        <v>123</v>
      </c>
      <c r="I19" s="43">
        <f>AVERAGE(F20:H20)</f>
        <v>5.9099999999999993</v>
      </c>
      <c r="J19" s="5"/>
      <c r="K19" s="5"/>
    </row>
    <row r="20" spans="1:11" ht="15.6">
      <c r="A20" s="49"/>
      <c r="B20" s="37"/>
      <c r="C20" s="37"/>
      <c r="D20" s="37"/>
      <c r="E20" s="23" t="s">
        <v>17</v>
      </c>
      <c r="F20" s="51">
        <v>5.85</v>
      </c>
      <c r="G20" s="51">
        <v>5.89</v>
      </c>
      <c r="H20" s="52">
        <v>5.99</v>
      </c>
      <c r="I20" s="42"/>
      <c r="J20" s="5"/>
      <c r="K20" s="5"/>
    </row>
    <row r="21" spans="1:11" ht="15.75" customHeight="1">
      <c r="A21" s="46" t="s">
        <v>62</v>
      </c>
      <c r="B21" s="44" t="s">
        <v>63</v>
      </c>
      <c r="C21" s="44" t="s">
        <v>12</v>
      </c>
      <c r="D21" s="34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1">
        <f>AVERAGE(F22:H22)</f>
        <v>35.313333333333333</v>
      </c>
      <c r="J21" s="5"/>
      <c r="K21" s="5"/>
    </row>
    <row r="22" spans="1:11" ht="15.75" customHeight="1">
      <c r="A22" s="47"/>
      <c r="B22" s="35"/>
      <c r="C22" s="35"/>
      <c r="D22" s="35"/>
      <c r="E22" s="29" t="s">
        <v>17</v>
      </c>
      <c r="F22" s="53">
        <v>32.979999999999997</v>
      </c>
      <c r="G22" s="53">
        <v>39.979999999999997</v>
      </c>
      <c r="H22" s="54">
        <v>32.979999999999997</v>
      </c>
      <c r="I22" s="42"/>
      <c r="J22" s="5"/>
      <c r="K22" s="5"/>
    </row>
    <row r="23" spans="1:11" ht="15.75" customHeight="1">
      <c r="A23" s="48" t="s">
        <v>69</v>
      </c>
      <c r="B23" s="45" t="s">
        <v>63</v>
      </c>
      <c r="C23" s="45" t="s">
        <v>12</v>
      </c>
      <c r="D23" s="36">
        <v>1</v>
      </c>
      <c r="E23" s="20" t="s">
        <v>13</v>
      </c>
      <c r="F23" s="21"/>
      <c r="G23" s="21"/>
      <c r="H23" s="22"/>
      <c r="I23" s="43">
        <f>AVERAGE(F24:H24)</f>
        <v>12.9</v>
      </c>
      <c r="J23" s="5"/>
      <c r="K23" s="5"/>
    </row>
    <row r="24" spans="1:11" ht="15.75" customHeight="1">
      <c r="A24" s="49"/>
      <c r="B24" s="37"/>
      <c r="C24" s="37"/>
      <c r="D24" s="37"/>
      <c r="E24" s="23" t="s">
        <v>17</v>
      </c>
      <c r="F24" s="51">
        <v>12.9</v>
      </c>
      <c r="G24" s="24"/>
      <c r="H24" s="25"/>
      <c r="I24" s="42"/>
      <c r="J24" s="5"/>
      <c r="K24" s="5"/>
    </row>
    <row r="25" spans="1:11" ht="15.75" customHeight="1">
      <c r="A25" s="46" t="s">
        <v>71</v>
      </c>
      <c r="B25" s="44" t="s">
        <v>63</v>
      </c>
      <c r="C25" s="44" t="s">
        <v>12</v>
      </c>
      <c r="D25" s="34">
        <v>1</v>
      </c>
      <c r="E25" s="26" t="s">
        <v>13</v>
      </c>
      <c r="F25" s="27"/>
      <c r="G25" s="27"/>
      <c r="H25" s="28"/>
      <c r="I25" s="41">
        <f>AVERAGE(F26:H26)</f>
        <v>8.98</v>
      </c>
      <c r="J25" s="5"/>
      <c r="K25" s="5"/>
    </row>
    <row r="26" spans="1:11" ht="15.75" customHeight="1">
      <c r="A26" s="47"/>
      <c r="B26" s="35"/>
      <c r="C26" s="35"/>
      <c r="D26" s="35"/>
      <c r="E26" s="29" t="s">
        <v>17</v>
      </c>
      <c r="F26" s="53">
        <v>8.98</v>
      </c>
      <c r="G26" s="30"/>
      <c r="H26" s="31"/>
      <c r="I26" s="42"/>
      <c r="J26" s="5"/>
      <c r="K26" s="5"/>
    </row>
    <row r="27" spans="1:11" ht="15.75" customHeight="1">
      <c r="A27" s="48" t="s">
        <v>73</v>
      </c>
      <c r="B27" s="45" t="s">
        <v>63</v>
      </c>
      <c r="C27" s="45" t="s">
        <v>12</v>
      </c>
      <c r="D27" s="36">
        <v>1</v>
      </c>
      <c r="E27" s="20" t="s">
        <v>13</v>
      </c>
      <c r="F27" s="21"/>
      <c r="G27" s="21"/>
      <c r="H27" s="22"/>
      <c r="I27" s="43">
        <f>AVERAGE(F28:H28)</f>
        <v>9.98</v>
      </c>
      <c r="J27" s="5"/>
      <c r="K27" s="5"/>
    </row>
    <row r="28" spans="1:11" ht="15.75" customHeight="1">
      <c r="A28" s="49"/>
      <c r="B28" s="37"/>
      <c r="C28" s="37"/>
      <c r="D28" s="37"/>
      <c r="E28" s="23" t="s">
        <v>17</v>
      </c>
      <c r="F28" s="51">
        <v>9.98</v>
      </c>
      <c r="G28" s="24"/>
      <c r="H28" s="25"/>
      <c r="I28" s="42"/>
      <c r="J28" s="5"/>
      <c r="K28" s="5"/>
    </row>
    <row r="29" spans="1:11" ht="15.75" customHeight="1">
      <c r="A29" s="46" t="s">
        <v>75</v>
      </c>
      <c r="B29" s="44" t="s">
        <v>76</v>
      </c>
      <c r="C29" s="44" t="s">
        <v>56</v>
      </c>
      <c r="D29" s="34">
        <v>1</v>
      </c>
      <c r="E29" s="26" t="s">
        <v>13</v>
      </c>
      <c r="F29" s="27" t="s">
        <v>125</v>
      </c>
      <c r="G29" s="27" t="s">
        <v>49</v>
      </c>
      <c r="H29" s="28" t="s">
        <v>126</v>
      </c>
      <c r="I29" s="41">
        <f>AVERAGE(F30:H30)</f>
        <v>3.6233333333333331</v>
      </c>
      <c r="J29" s="5"/>
      <c r="K29" s="5"/>
    </row>
    <row r="30" spans="1:11" ht="15.75" customHeight="1">
      <c r="A30" s="49"/>
      <c r="B30" s="37"/>
      <c r="C30" s="37"/>
      <c r="D30" s="37"/>
      <c r="E30" s="23" t="s">
        <v>17</v>
      </c>
      <c r="F30" s="55">
        <v>3.59</v>
      </c>
      <c r="G30" s="55">
        <v>3.69</v>
      </c>
      <c r="H30" s="56">
        <v>3.59</v>
      </c>
      <c r="I30" s="42"/>
      <c r="J30" s="5"/>
      <c r="K30" s="5"/>
    </row>
    <row r="31" spans="1:11" ht="15.75" customHeight="1">
      <c r="A31" s="48" t="s">
        <v>80</v>
      </c>
      <c r="B31" s="45" t="s">
        <v>63</v>
      </c>
      <c r="C31" s="45" t="s">
        <v>12</v>
      </c>
      <c r="D31" s="36">
        <v>1</v>
      </c>
      <c r="E31" s="20" t="s">
        <v>13</v>
      </c>
      <c r="F31" s="21" t="s">
        <v>81</v>
      </c>
      <c r="G31" s="21" t="s">
        <v>82</v>
      </c>
      <c r="H31" s="22"/>
      <c r="I31" s="43">
        <f>AVERAGE(F32:H32)</f>
        <v>5.3800000000000008</v>
      </c>
      <c r="J31" s="5"/>
      <c r="K31" s="5"/>
    </row>
    <row r="32" spans="1:11" ht="15.75" customHeight="1">
      <c r="A32" s="49"/>
      <c r="B32" s="37"/>
      <c r="C32" s="37"/>
      <c r="D32" s="37"/>
      <c r="E32" s="23" t="s">
        <v>17</v>
      </c>
      <c r="F32" s="51">
        <v>5.98</v>
      </c>
      <c r="G32" s="51">
        <v>4.78</v>
      </c>
      <c r="H32" s="25"/>
      <c r="I32" s="42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I9:I10"/>
    <mergeCell ref="I11:I12"/>
    <mergeCell ref="I17:I18"/>
    <mergeCell ref="I15:I16"/>
    <mergeCell ref="I31:I32"/>
    <mergeCell ref="I29:I30"/>
    <mergeCell ref="I25:I26"/>
    <mergeCell ref="I23:I24"/>
    <mergeCell ref="I19:I20"/>
    <mergeCell ref="I21:I22"/>
    <mergeCell ref="I27:I28"/>
    <mergeCell ref="I7:I8"/>
    <mergeCell ref="I13:I14"/>
    <mergeCell ref="D9:D10"/>
    <mergeCell ref="B9:B10"/>
    <mergeCell ref="A31:A32"/>
    <mergeCell ref="A29:A30"/>
    <mergeCell ref="B29:B30"/>
    <mergeCell ref="C29:C30"/>
    <mergeCell ref="D29:D30"/>
    <mergeCell ref="D31:D32"/>
    <mergeCell ref="B31:B32"/>
    <mergeCell ref="C31:C32"/>
    <mergeCell ref="B27:B28"/>
    <mergeCell ref="B25:B26"/>
    <mergeCell ref="A21:A22"/>
    <mergeCell ref="A23:A24"/>
    <mergeCell ref="E5:G5"/>
    <mergeCell ref="B5:C5"/>
    <mergeCell ref="B7:B8"/>
    <mergeCell ref="E6:H6"/>
    <mergeCell ref="C13:C14"/>
    <mergeCell ref="C9:C10"/>
    <mergeCell ref="C7:C8"/>
    <mergeCell ref="A27:A28"/>
    <mergeCell ref="C27:C28"/>
    <mergeCell ref="C17:C18"/>
    <mergeCell ref="D19:D20"/>
    <mergeCell ref="D7:D8"/>
    <mergeCell ref="C15:C16"/>
    <mergeCell ref="A25:A26"/>
    <mergeCell ref="A11:A12"/>
    <mergeCell ref="A9:A10"/>
    <mergeCell ref="A7:A8"/>
    <mergeCell ref="A13:A14"/>
    <mergeCell ref="A15:A16"/>
    <mergeCell ref="A17:A18"/>
    <mergeCell ref="D25:D26"/>
    <mergeCell ref="D27:D28"/>
    <mergeCell ref="C23:C24"/>
    <mergeCell ref="D11:D12"/>
    <mergeCell ref="C11:C12"/>
    <mergeCell ref="C25:C26"/>
    <mergeCell ref="D17:D18"/>
    <mergeCell ref="D15:D16"/>
    <mergeCell ref="C21:C22"/>
    <mergeCell ref="A19:A20"/>
    <mergeCell ref="C19:C20"/>
    <mergeCell ref="D23:D24"/>
    <mergeCell ref="D21:D22"/>
    <mergeCell ref="D13:D14"/>
    <mergeCell ref="B21:B22"/>
    <mergeCell ref="B23:B24"/>
    <mergeCell ref="B11:B12"/>
    <mergeCell ref="B19:B20"/>
    <mergeCell ref="B13:B14"/>
    <mergeCell ref="B17:B18"/>
    <mergeCell ref="B15:B16"/>
  </mergeCells>
  <printOptions horizontalCentered="1" verticalCentered="1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Dados</vt:lpstr>
      <vt:lpstr>Junho - Cooper Água Verde</vt:lpstr>
      <vt:lpstr>Julho - Cooper Água Ver</vt:lpstr>
      <vt:lpstr>Agosto - Cooper Água Verde</vt:lpstr>
      <vt:lpstr>Outubro - Cooper Água Verde</vt:lpstr>
      <vt:lpstr>Novembro - Cooper Água Verde</vt:lpstr>
      <vt:lpstr>Dezembro - Cooper Água Verde</vt:lpstr>
      <vt:lpstr>Janeiro - Cooper Água Verde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Enzo Duarte Crozeta</cp:lastModifiedBy>
  <cp:lastPrinted>2017-03-22T18:47:06Z</cp:lastPrinted>
  <dcterms:created xsi:type="dcterms:W3CDTF">2017-03-17T20:11:34Z</dcterms:created>
  <dcterms:modified xsi:type="dcterms:W3CDTF">2024-01-21T20:18:47Z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2023-04-01T14:55:17Z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c9dd103b-b10b-417c-9da0-99be73e966e0</vt:lpwstr>
  </property>
  <property fmtid="{D5CDD505-2E9C-101B-9397-08002B2CF9AE}" pid="8" name="MSIP_Label_8c28577e-0e52-49e2-b52e-02bb75ccb8f1_ContentBits">
    <vt:lpwstr>0</vt:lpwstr>
  </property>
</Properties>
</file>