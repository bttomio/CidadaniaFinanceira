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60" documentId="8_{7D7861AF-0A7B-A045-814B-0B5BCE8434E2}" xr6:coauthVersionLast="47" xr6:coauthVersionMax="47" xr10:uidLastSave="{CBEE80F2-BB68-4ABA-AF93-5BC54494A234}"/>
  <bookViews>
    <workbookView xWindow="-108" yWindow="-108" windowWidth="23256" windowHeight="12456" xr2:uid="{00000000-000D-0000-FFFF-FFFF00000000}"/>
  </bookViews>
  <sheets>
    <sheet name="Dados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7" i="1"/>
  <c r="I11" i="1"/>
  <c r="I29" i="1"/>
  <c r="I25" i="1"/>
  <c r="I21" i="1"/>
  <c r="I17" i="1"/>
  <c r="I31" i="1"/>
  <c r="I27" i="1"/>
  <c r="I23" i="1"/>
  <c r="I19" i="1"/>
  <c r="I15" i="1"/>
</calcChain>
</file>

<file path=xl/sharedStrings.xml><?xml version="1.0" encoding="utf-8"?>
<sst xmlns="http://schemas.openxmlformats.org/spreadsheetml/2006/main" count="97" uniqueCount="54">
  <si>
    <t>MERCADO</t>
  </si>
  <si>
    <t>MANKE</t>
  </si>
  <si>
    <t>DATA</t>
  </si>
  <si>
    <t>07/05/2025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</si>
  <si>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</si>
  <si>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</si>
  <si>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</si>
  <si>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</si>
  <si>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</si>
  <si>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</si>
  <si>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</si>
  <si>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</si>
  <si>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</si>
  <si>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</si>
  <si>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</si>
  <si>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Urbano</t>
  </si>
  <si>
    <t>Preço</t>
  </si>
  <si>
    <t>Açucar Refinado</t>
  </si>
  <si>
    <t>Caravela</t>
  </si>
  <si>
    <t>Café em pó</t>
  </si>
  <si>
    <t>Colonial</t>
  </si>
  <si>
    <t>Jurerê</t>
  </si>
  <si>
    <t>Caboclo</t>
  </si>
  <si>
    <t>Farinha de Trigo</t>
  </si>
  <si>
    <t xml:space="preserve">Marca </t>
  </si>
  <si>
    <t>Nordeste</t>
  </si>
  <si>
    <t>Feijão Preto</t>
  </si>
  <si>
    <t>Caldão</t>
  </si>
  <si>
    <t>Reserva</t>
  </si>
  <si>
    <t>Santo dia</t>
  </si>
  <si>
    <t>Manteiga</t>
  </si>
  <si>
    <t>Pote</t>
  </si>
  <si>
    <t>Cruzília</t>
  </si>
  <si>
    <t>D'Nona</t>
  </si>
  <si>
    <t>Tirol</t>
  </si>
  <si>
    <t>Óleo de Soja</t>
  </si>
  <si>
    <t>Garrafa</t>
  </si>
  <si>
    <t>L</t>
  </si>
  <si>
    <t>Soya</t>
  </si>
  <si>
    <t>Coamo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</si>
  <si>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</si>
  <si>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</si>
  <si>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</si>
  <si>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</si>
  <si>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</si>
  <si>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</si>
  <si>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</si>
  <si>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</si>
  <si>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</si>
  <si>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</si>
  <si>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</si>
  <si>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>Terra Viva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</si>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</sst>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3" borderId="21" xfId="0" applyFont="1" applyFill="1" applyBorder="1" applyAlignment="1">
      <alignment vertical="center"/>
    </xf>
    <xf numFmtId="0" fontId="2" fillId="3" borderId="21" xfId="0" applyFont="1" applyFill="1" applyBorder="1" applyAlignment="1">
      <alignment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704850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4" zoomScaleNormal="100" workbookViewId="0">
      <selection activeCell="G25" sqref="G2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6" width="14.85546875" style="4" customWidth="1"/>
    <col min="7" max="7" width="15.5703125" style="4" customWidth="1"/>
    <col min="8" max="8" width="12.42578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9" t="s">
        <v>1</v>
      </c>
      <c r="C5" s="49"/>
      <c r="D5" s="31" t="s">
        <v>2</v>
      </c>
      <c r="E5" s="46" t="s">
        <v>3</v>
      </c>
      <c r="F5" s="46"/>
      <c r="G5" s="46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7" t="s">
        <v>8</v>
      </c>
      <c r="F6" s="48"/>
      <c r="G6" s="48"/>
      <c r="H6" s="48"/>
      <c r="I6" s="3" t="s">
        <v>9</v>
      </c>
    </row>
    <row r="7" spans="1:9">
      <c r="A7" s="62" t="s">
        <v>10</v>
      </c>
      <c r="B7" s="58" t="s">
        <v>11</v>
      </c>
      <c r="C7" s="58" t="s">
        <v>12</v>
      </c>
      <c r="D7" s="66">
        <v>5</v>
      </c>
      <c r="E7" s="32" t="s">
        <v>13</v>
      </c>
      <c r="F7" s="5" t="s">
        <v>14</v>
      </c>
      <c r="G7" s="5" t="s">
        <v>15</v>
      </c>
      <c r="H7" s="6"/>
      <c r="I7" s="42">
        <f>AVERAGE(F8:H8)/5</f>
        <v>6.3890000000000002</v>
      </c>
    </row>
    <row r="8" spans="1:9" ht="16.5" thickBot="1">
      <c r="A8" s="63"/>
      <c r="B8" s="59"/>
      <c r="C8" s="59"/>
      <c r="D8" s="67"/>
      <c r="E8" s="33" t="s">
        <v>16</v>
      </c>
      <c r="F8" s="7">
        <v>27.9</v>
      </c>
      <c r="G8" s="7">
        <v>35.99</v>
      </c>
      <c r="H8" s="8"/>
      <c r="I8" s="43"/>
    </row>
    <row r="9" spans="1:9" ht="18" customHeight="1">
      <c r="A9" s="60" t="s">
        <v>17</v>
      </c>
      <c r="B9" s="56" t="s">
        <v>11</v>
      </c>
      <c r="C9" s="56" t="s">
        <v>12</v>
      </c>
      <c r="D9" s="64">
        <v>5</v>
      </c>
      <c r="E9" s="34" t="s">
        <v>13</v>
      </c>
      <c r="F9" s="37" t="s">
        <v>18</v>
      </c>
      <c r="G9" s="9"/>
      <c r="H9" s="10"/>
      <c r="I9" s="44">
        <f>AVERAGE(F10:H10)/5</f>
        <v>4.194</v>
      </c>
    </row>
    <row r="10" spans="1:9" ht="16.5" thickBot="1">
      <c r="A10" s="61"/>
      <c r="B10" s="57"/>
      <c r="C10" s="57"/>
      <c r="D10" s="65"/>
      <c r="E10" s="35" t="s">
        <v>16</v>
      </c>
      <c r="F10" s="11">
        <v>20.97</v>
      </c>
      <c r="G10" s="11"/>
      <c r="H10" s="12"/>
      <c r="I10" s="45"/>
    </row>
    <row r="11" spans="1:9">
      <c r="A11" s="62" t="s">
        <v>19</v>
      </c>
      <c r="B11" s="58" t="s">
        <v>11</v>
      </c>
      <c r="C11" s="58" t="s">
        <v>12</v>
      </c>
      <c r="D11" s="66">
        <v>0.5</v>
      </c>
      <c r="E11" s="32" t="s">
        <v>13</v>
      </c>
      <c r="F11" s="5" t="s">
        <v>20</v>
      </c>
      <c r="G11" s="5" t="s">
        <v>21</v>
      </c>
      <c r="H11" s="6" t="s">
        <v>22</v>
      </c>
      <c r="I11" s="42">
        <f>AVERAGE(F12:H12)</f>
        <v>29.9</v>
      </c>
    </row>
    <row r="12" spans="1:9" ht="16.5" thickBot="1">
      <c r="A12" s="63"/>
      <c r="B12" s="59"/>
      <c r="C12" s="59"/>
      <c r="D12" s="67"/>
      <c r="E12" s="33" t="s">
        <v>16</v>
      </c>
      <c r="F12" s="7"/>
      <c r="G12" s="7"/>
      <c r="H12" s="8">
        <v>29.9</v>
      </c>
      <c r="I12" s="43"/>
    </row>
    <row r="13" spans="1:9">
      <c r="A13" s="60" t="s">
        <v>23</v>
      </c>
      <c r="B13" s="56" t="s">
        <v>11</v>
      </c>
      <c r="C13" s="56" t="s">
        <v>12</v>
      </c>
      <c r="D13" s="64">
        <v>5</v>
      </c>
      <c r="E13" s="34" t="s">
        <v>24</v>
      </c>
      <c r="F13" s="36" t="s">
        <v>25</v>
      </c>
      <c r="G13" s="9"/>
      <c r="H13" s="10"/>
      <c r="I13" s="44">
        <f>AVERAGE(F14:H14)/5</f>
        <v>4.3979999999999997</v>
      </c>
    </row>
    <row r="14" spans="1:9" ht="16.5" thickBot="1">
      <c r="A14" s="61"/>
      <c r="B14" s="57"/>
      <c r="C14" s="57"/>
      <c r="D14" s="65"/>
      <c r="E14" s="35" t="s">
        <v>16</v>
      </c>
      <c r="F14" s="11">
        <v>21.99</v>
      </c>
      <c r="G14" s="11"/>
      <c r="H14" s="12"/>
      <c r="I14" s="45"/>
    </row>
    <row r="15" spans="1:9">
      <c r="A15" s="62" t="s">
        <v>26</v>
      </c>
      <c r="B15" s="58" t="s">
        <v>11</v>
      </c>
      <c r="C15" s="58" t="s">
        <v>12</v>
      </c>
      <c r="D15" s="66">
        <v>1</v>
      </c>
      <c r="E15" s="32" t="s">
        <v>13</v>
      </c>
      <c r="F15" s="38" t="s">
        <v>27</v>
      </c>
      <c r="G15" s="38" t="s">
        <v>28</v>
      </c>
      <c r="H15" s="39" t="s">
        <v>29</v>
      </c>
      <c r="I15" s="42">
        <f>AVERAGE(F16:H16)</f>
        <v>9.9450000000000003</v>
      </c>
    </row>
    <row r="16" spans="1:9" ht="16.5" thickBot="1">
      <c r="A16" s="63"/>
      <c r="B16" s="59"/>
      <c r="C16" s="59"/>
      <c r="D16" s="67"/>
      <c r="E16" s="33" t="s">
        <v>16</v>
      </c>
      <c r="F16" s="7">
        <v>10.99</v>
      </c>
      <c r="G16" s="7">
        <v>8.9</v>
      </c>
      <c r="H16" s="8"/>
      <c r="I16" s="43"/>
    </row>
    <row r="17" spans="1:9">
      <c r="A17" s="60" t="s">
        <v>30</v>
      </c>
      <c r="B17" s="56" t="s">
        <v>31</v>
      </c>
      <c r="C17" s="56" t="s">
        <v>12</v>
      </c>
      <c r="D17" s="64">
        <v>0.5</v>
      </c>
      <c r="E17" s="34" t="s">
        <v>13</v>
      </c>
      <c r="F17" s="9" t="s">
        <v>32</v>
      </c>
      <c r="G17" s="9" t="s">
        <v>33</v>
      </c>
      <c r="H17" s="10" t="s">
        <v>34</v>
      </c>
      <c r="I17" s="44">
        <f>AVERAGE(F18:H18)</f>
        <v>33.729999999999997</v>
      </c>
    </row>
    <row r="18" spans="1:9" ht="16.5" thickBot="1">
      <c r="A18" s="61"/>
      <c r="B18" s="57"/>
      <c r="C18" s="57"/>
      <c r="D18" s="65"/>
      <c r="E18" s="35" t="s">
        <v>16</v>
      </c>
      <c r="F18" s="11">
        <v>29.98</v>
      </c>
      <c r="G18" s="11"/>
      <c r="H18" s="12">
        <v>37.479999999999997</v>
      </c>
      <c r="I18" s="45"/>
    </row>
    <row r="19" spans="1:9">
      <c r="A19" s="62" t="s">
        <v>35</v>
      </c>
      <c r="B19" s="58" t="s">
        <v>36</v>
      </c>
      <c r="C19" s="58" t="s">
        <v>37</v>
      </c>
      <c r="D19" s="66">
        <v>0.9</v>
      </c>
      <c r="E19" s="32" t="s">
        <v>13</v>
      </c>
      <c r="F19" s="5" t="s">
        <v>38</v>
      </c>
      <c r="G19" s="5" t="s">
        <v>39</v>
      </c>
      <c r="H19" s="6"/>
      <c r="I19" s="42">
        <f>AVERAGE(F20:H20)</f>
        <v>7.99</v>
      </c>
    </row>
    <row r="20" spans="1:9" ht="16.5" thickBot="1">
      <c r="A20" s="63"/>
      <c r="B20" s="59"/>
      <c r="C20" s="59"/>
      <c r="D20" s="67"/>
      <c r="E20" s="33" t="s">
        <v>16</v>
      </c>
      <c r="F20" s="7">
        <v>7.99</v>
      </c>
      <c r="G20" s="7"/>
      <c r="H20" s="8"/>
      <c r="I20" s="43"/>
    </row>
    <row r="21" spans="1:9" ht="18.75" customHeight="1">
      <c r="A21" s="60" t="s">
        <v>40</v>
      </c>
      <c r="B21" s="56" t="s">
        <v>41</v>
      </c>
      <c r="C21" s="56" t="s">
        <v>12</v>
      </c>
      <c r="D21" s="64">
        <v>1</v>
      </c>
      <c r="E21" s="34" t="s">
        <v>13</v>
      </c>
      <c r="F21" s="37" t="s">
        <v>42</v>
      </c>
      <c r="G21" s="37" t="s">
        <v>43</v>
      </c>
      <c r="H21" s="40" t="s">
        <v>44</v>
      </c>
      <c r="I21" s="44">
        <f>AVERAGE(F22:H22)</f>
        <v>40.666666666666664</v>
      </c>
    </row>
    <row r="22" spans="1:9" ht="16.5" thickBot="1">
      <c r="A22" s="61"/>
      <c r="B22" s="57"/>
      <c r="C22" s="57"/>
      <c r="D22" s="65"/>
      <c r="E22" s="35" t="s">
        <v>16</v>
      </c>
      <c r="F22" s="11">
        <v>41</v>
      </c>
      <c r="G22" s="11">
        <v>39</v>
      </c>
      <c r="H22" s="12">
        <v>42</v>
      </c>
      <c r="I22" s="45"/>
    </row>
    <row r="23" spans="1:9">
      <c r="A23" s="62" t="s">
        <v>45</v>
      </c>
      <c r="B23" s="58" t="s">
        <v>41</v>
      </c>
      <c r="C23" s="58" t="s">
        <v>12</v>
      </c>
      <c r="D23" s="66">
        <v>1</v>
      </c>
      <c r="E23" s="32" t="s">
        <v>13</v>
      </c>
      <c r="F23" s="5"/>
      <c r="G23" s="5"/>
      <c r="H23" s="6"/>
      <c r="I23" s="42">
        <f>AVERAGE(F24:H24)</f>
        <v>17.989999999999998</v>
      </c>
    </row>
    <row r="24" spans="1:9" ht="16.5" thickBot="1">
      <c r="A24" s="63"/>
      <c r="B24" s="59"/>
      <c r="C24" s="59"/>
      <c r="D24" s="67"/>
      <c r="E24" s="33" t="s">
        <v>16</v>
      </c>
      <c r="F24" s="7">
        <v>17.989999999999998</v>
      </c>
      <c r="G24" s="7"/>
      <c r="H24" s="8"/>
      <c r="I24" s="43"/>
    </row>
    <row r="25" spans="1:9">
      <c r="A25" s="60" t="s">
        <v>46</v>
      </c>
      <c r="B25" s="56" t="s">
        <v>41</v>
      </c>
      <c r="C25" s="56" t="s">
        <v>12</v>
      </c>
      <c r="D25" s="64">
        <v>1</v>
      </c>
      <c r="E25" s="34" t="s">
        <v>13</v>
      </c>
      <c r="F25" s="9"/>
      <c r="G25" s="9"/>
      <c r="H25" s="10"/>
      <c r="I25" s="44">
        <f>AVERAGE(F26:H26)</f>
        <v>3.49</v>
      </c>
    </row>
    <row r="26" spans="1:9" ht="16.5" thickBot="1">
      <c r="A26" s="61"/>
      <c r="B26" s="57"/>
      <c r="C26" s="57"/>
      <c r="D26" s="65"/>
      <c r="E26" s="35" t="s">
        <v>16</v>
      </c>
      <c r="F26" s="11">
        <v>3.49</v>
      </c>
      <c r="G26" s="11"/>
      <c r="H26" s="12"/>
      <c r="I26" s="45"/>
    </row>
    <row r="27" spans="1:9">
      <c r="A27" s="54" t="s">
        <v>47</v>
      </c>
      <c r="B27" s="50" t="s">
        <v>41</v>
      </c>
      <c r="C27" s="50" t="s">
        <v>12</v>
      </c>
      <c r="D27" s="52">
        <v>1</v>
      </c>
      <c r="E27" s="32" t="s">
        <v>13</v>
      </c>
      <c r="F27" s="5"/>
      <c r="G27" s="5"/>
      <c r="H27" s="6"/>
      <c r="I27" s="42">
        <f>AVERAGE(F28:H28)</f>
        <v>7.99</v>
      </c>
    </row>
    <row r="28" spans="1:9" ht="16.5" thickBot="1">
      <c r="A28" s="55"/>
      <c r="B28" s="51"/>
      <c r="C28" s="51"/>
      <c r="D28" s="53"/>
      <c r="E28" s="33" t="s">
        <v>16</v>
      </c>
      <c r="F28" s="7">
        <v>7.99</v>
      </c>
      <c r="G28" s="7"/>
      <c r="H28" s="8"/>
      <c r="I28" s="43"/>
    </row>
    <row r="29" spans="1:9" ht="17.25" customHeight="1">
      <c r="A29" s="60" t="s">
        <v>48</v>
      </c>
      <c r="B29" s="56" t="s">
        <v>49</v>
      </c>
      <c r="C29" s="56" t="s">
        <v>37</v>
      </c>
      <c r="D29" s="64">
        <v>1</v>
      </c>
      <c r="E29" s="34" t="s">
        <v>13</v>
      </c>
      <c r="F29" s="9" t="s">
        <v>34</v>
      </c>
      <c r="G29" s="9" t="s">
        <v>50</v>
      </c>
      <c r="H29" s="41" t="s">
        <v>51</v>
      </c>
      <c r="I29" s="44">
        <f>AVERAGE(F30:H30)</f>
        <v>5.8900000000000006</v>
      </c>
    </row>
    <row r="30" spans="1:9" ht="16.5" thickBot="1">
      <c r="A30" s="69"/>
      <c r="B30" s="68"/>
      <c r="C30" s="68"/>
      <c r="D30" s="70"/>
      <c r="E30" s="33" t="s">
        <v>16</v>
      </c>
      <c r="F30" s="13">
        <v>5.79</v>
      </c>
      <c r="G30" s="13">
        <v>5.99</v>
      </c>
      <c r="H30" s="14"/>
      <c r="I30" s="45"/>
    </row>
    <row r="31" spans="1:9">
      <c r="A31" s="54" t="s">
        <v>52</v>
      </c>
      <c r="B31" s="50" t="s">
        <v>41</v>
      </c>
      <c r="C31" s="50" t="s">
        <v>12</v>
      </c>
      <c r="D31" s="52">
        <v>1</v>
      </c>
      <c r="E31" s="32" t="s">
        <v>13</v>
      </c>
      <c r="F31" s="5" t="s">
        <v>53</v>
      </c>
      <c r="G31" s="5"/>
      <c r="H31" s="6"/>
      <c r="I31" s="42">
        <f>AVERAGE(F32:H32)</f>
        <v>2.99</v>
      </c>
    </row>
    <row r="32" spans="1:9" ht="16.5" thickBot="1">
      <c r="A32" s="55"/>
      <c r="B32" s="51"/>
      <c r="C32" s="51"/>
      <c r="D32" s="53"/>
      <c r="E32" s="33" t="s">
        <v>16</v>
      </c>
      <c r="F32" s="7">
        <v>2.99</v>
      </c>
      <c r="G32" s="7"/>
      <c r="H32" s="8"/>
      <c r="I32" s="43"/>
    </row>
  </sheetData>
  <mergeCells count="68">
    <mergeCell ref="A15:A16"/>
    <mergeCell ref="B15:B16"/>
    <mergeCell ref="C15:C16"/>
    <mergeCell ref="D15:D16"/>
    <mergeCell ref="D21:D22"/>
    <mergeCell ref="A11:A12"/>
    <mergeCell ref="A13:A14"/>
    <mergeCell ref="B13:B14"/>
    <mergeCell ref="C13:C14"/>
    <mergeCell ref="D13:D14"/>
    <mergeCell ref="D11:D12"/>
    <mergeCell ref="C11:C12"/>
    <mergeCell ref="B11:B12"/>
    <mergeCell ref="A7:A8"/>
    <mergeCell ref="B7:B8"/>
    <mergeCell ref="C7:C8"/>
    <mergeCell ref="D7:D8"/>
    <mergeCell ref="A9:A10"/>
    <mergeCell ref="B9:B10"/>
    <mergeCell ref="C9:C10"/>
    <mergeCell ref="D9:D10"/>
    <mergeCell ref="A31:A32"/>
    <mergeCell ref="B31:B32"/>
    <mergeCell ref="C31:C32"/>
    <mergeCell ref="D31:D32"/>
    <mergeCell ref="C29:C30"/>
    <mergeCell ref="A29:A30"/>
    <mergeCell ref="D29:D30"/>
    <mergeCell ref="B29:B30"/>
    <mergeCell ref="D23:D24"/>
    <mergeCell ref="D25:D26"/>
    <mergeCell ref="C17:C18"/>
    <mergeCell ref="C19:C20"/>
    <mergeCell ref="C21:C22"/>
    <mergeCell ref="C23:C24"/>
    <mergeCell ref="C25:C26"/>
    <mergeCell ref="D19:D20"/>
    <mergeCell ref="B5:C5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E5:G5"/>
    <mergeCell ref="I7:I8"/>
    <mergeCell ref="I11:I12"/>
    <mergeCell ref="I15:I16"/>
    <mergeCell ref="E6:H6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I19:I2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7F49-2FE0-DA46-B88B-AA141AC8DB04}">
  <dimension ref="A1"/>
  <sheetViews>
    <sheetView topLeftCell="A2" zoomScaleNormal="100" zoomScaleSheetLayoutView="10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Kaliandra Alves</cp:lastModifiedBy>
  <cp:revision/>
  <dcterms:created xsi:type="dcterms:W3CDTF">2017-03-17T20:11:34Z</dcterms:created>
  <dcterms:modified xsi:type="dcterms:W3CDTF">2025-05-09T15:54:09Z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